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tabRatio="870"/>
  </bookViews>
  <sheets>
    <sheet name="基础信息" sheetId="1" r:id="rId1"/>
    <sheet name="ICC平台侧" sheetId="3" r:id="rId2"/>
    <sheet name="ICC-营销侧" sheetId="4" r:id="rId3"/>
    <sheet name="ICC-场景侧" sheetId="5" r:id="rId4"/>
    <sheet name="非急救转运" sheetId="6" r:id="rId5"/>
    <sheet name="爬虫" sheetId="7" r:id="rId6"/>
    <sheet name="可信数据空间" sheetId="8" r:id="rId7"/>
    <sheet name="目录" sheetId="2" r:id="rId8"/>
    <sheet name="国企数字化转型" sheetId="9" r:id="rId9"/>
    <sheet name="湖仓一体化" sheetId="10" r:id="rId10"/>
    <sheet name="集团业务" sheetId="11" r:id="rId11"/>
    <sheet name="集团研发" sheetId="12" r:id="rId12"/>
    <sheet name="华为Hiagent" sheetId="13" r:id="rId13"/>
    <sheet name="华为车路云" sheetId="14" r:id="rId14"/>
    <sheet name="检查服务" sheetId="15" r:id="rId15"/>
    <sheet name="合同目录" sheetId="16" r:id="rId16"/>
  </sheets>
  <definedNames>
    <definedName name="_xlnm._FilterDatabase" localSheetId="6">可信数据空间!$A$3:$I$189</definedName>
    <definedName name="_xlnm._FilterDatabase" localSheetId="1">ICC平台侧!$A$3:$N$56</definedName>
    <definedName name="_xlnm._FilterDatabase" localSheetId="2">'ICC-营销侧'!$A$3:$O$33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<sst xmlns="http://schemas.openxmlformats.org/spreadsheetml/2006/main" count="4307" uniqueCount="791">
  <si>
    <t>项目基础信息表</t>
  </si>
  <si>
    <t>名称</t>
  </si>
  <si>
    <t>内容</t>
  </si>
  <si>
    <t>服务单位</t>
  </si>
  <si>
    <t>杭州安恒信息技术股份有限公司</t>
  </si>
  <si>
    <t>项目经理</t>
  </si>
  <si>
    <t>刘竞雄</t>
  </si>
  <si>
    <t>联系电话</t>
  </si>
  <si>
    <t>邮件地址</t>
  </si>
  <si>
    <t>jiexi.liu@dbappsecurity.com.cn</t>
  </si>
  <si>
    <t>紫光云堡垒机地址：</t>
  </si>
  <si>
    <t>web：116.142.237.183:61443 
VPN：116.142.237.183:64443</t>
  </si>
  <si>
    <t>华为云堡垒机地址：</t>
  </si>
  <si>
    <t>web:116.141.0.184:61443                                                                                                                                                                          VPN:116.141.0.184:62443</t>
  </si>
  <si>
    <t>服务开展情况总览统计表</t>
  </si>
  <si>
    <t>本月核算情况总览统计表</t>
  </si>
  <si>
    <t>服务目录编号</t>
  </si>
  <si>
    <t>服务类型</t>
  </si>
  <si>
    <t>服务名称</t>
  </si>
  <si>
    <t>使用数量</t>
  </si>
  <si>
    <t>截至2026年4月30日使用天数</t>
  </si>
  <si>
    <t>操作系统服务</t>
  </si>
  <si>
    <t>银河麒麟高级服务器操作系统</t>
  </si>
  <si>
    <t>中间件服务</t>
  </si>
  <si>
    <t>东方通中间件-订阅</t>
  </si>
  <si>
    <t>数据库服务</t>
  </si>
  <si>
    <t>万里数据库</t>
  </si>
  <si>
    <t>OceanBase</t>
  </si>
  <si>
    <t>腾迅数据库TDSQL-C</t>
  </si>
  <si>
    <t>人大金仓数据库</t>
  </si>
  <si>
    <t>安全服务</t>
  </si>
  <si>
    <t>VPN-10用户</t>
  </si>
  <si>
    <t>OpenEuler</t>
  </si>
  <si>
    <t>EulerOS</t>
  </si>
  <si>
    <t>TencentOS</t>
  </si>
  <si>
    <t>达梦数据库-企业版</t>
  </si>
  <si>
    <t>达梦数据库</t>
  </si>
  <si>
    <t>国产向量数据库-海贝TRSv10</t>
  </si>
  <si>
    <t>国产向量数据库-海贝RSv10维保费</t>
  </si>
  <si>
    <t>费用总合计</t>
  </si>
  <si>
    <t>元</t>
  </si>
  <si>
    <t>租户开通堡垒机统计表</t>
  </si>
  <si>
    <t>序号</t>
  </si>
  <si>
    <t>开通时间</t>
  </si>
  <si>
    <t>租户名称</t>
  </si>
  <si>
    <t>套餐数量</t>
  </si>
  <si>
    <t>单位</t>
  </si>
  <si>
    <t>资产总数</t>
  </si>
  <si>
    <t>用户数量</t>
  </si>
  <si>
    <t>四月应付费用</t>
  </si>
  <si>
    <t>可信数据空间</t>
  </si>
  <si>
    <t>网络安全服务</t>
  </si>
  <si>
    <t>云堡垒机（20资产）</t>
  </si>
  <si>
    <t>套/日</t>
  </si>
  <si>
    <t>云堡垒机（1资产）</t>
  </si>
  <si>
    <t>灵动长春-平台侧</t>
  </si>
  <si>
    <t>灵动长春-爬虫</t>
  </si>
  <si>
    <t>灵动长春-场景侧</t>
  </si>
  <si>
    <t>灵动长春-营销侧</t>
  </si>
  <si>
    <t>集团OA</t>
  </si>
  <si>
    <t>集团邮箱</t>
  </si>
  <si>
    <t>湖仓一体化</t>
  </si>
  <si>
    <t>车路云一体化</t>
  </si>
  <si>
    <t>合计</t>
  </si>
  <si>
    <t>灵动长春-平台侧-堡垒机单项服务统计</t>
  </si>
  <si>
    <t>数量</t>
  </si>
  <si>
    <t>单价</t>
  </si>
  <si>
    <t>备注</t>
  </si>
  <si>
    <t>关停时间</t>
  </si>
  <si>
    <t>计费开始时间</t>
  </si>
  <si>
    <t>本期计费开始时间</t>
  </si>
  <si>
    <t>本期计费截至日期</t>
  </si>
  <si>
    <t>本月核算天数</t>
  </si>
  <si>
    <t>本月核算金额</t>
  </si>
  <si>
    <t>截至2026年4月30日
应计费天数</t>
  </si>
  <si>
    <t>合计费用</t>
  </si>
  <si>
    <t>172.16.10.187</t>
  </si>
  <si>
    <t>172.16.10.4</t>
  </si>
  <si>
    <t>172.16.10.130</t>
  </si>
  <si>
    <t>172.16.10.129</t>
  </si>
  <si>
    <t>172.16.10.128</t>
  </si>
  <si>
    <t>172.16.10.127</t>
  </si>
  <si>
    <t>172.16.10.126</t>
  </si>
  <si>
    <t>172.16.10.125</t>
  </si>
  <si>
    <t>172.16.10.124</t>
  </si>
  <si>
    <t>172.16.10.123</t>
  </si>
  <si>
    <t>172.16.10.2</t>
  </si>
  <si>
    <t>172.16.10.3</t>
  </si>
  <si>
    <t>172.16.10.5</t>
  </si>
  <si>
    <t>172.16.10.6</t>
  </si>
  <si>
    <t>172.16.10.7</t>
  </si>
  <si>
    <t>172.16.10.9</t>
  </si>
  <si>
    <t>172.16.10.8</t>
  </si>
  <si>
    <t>172.16.10.11</t>
  </si>
  <si>
    <t>172.16.10.10</t>
  </si>
  <si>
    <t>172.16.10.12</t>
  </si>
  <si>
    <t>172.16.10.14</t>
  </si>
  <si>
    <t>172.16.10.15</t>
  </si>
  <si>
    <t>172.16.10.13</t>
  </si>
  <si>
    <t>172.16.10.16</t>
  </si>
  <si>
    <t>172.16.10.17</t>
  </si>
  <si>
    <t>172.16.10.19</t>
  </si>
  <si>
    <t>172.16.10.20</t>
  </si>
  <si>
    <t>172.16.10.21</t>
  </si>
  <si>
    <t>172.16.10.22</t>
  </si>
  <si>
    <t>172.16.10.23</t>
  </si>
  <si>
    <t>172.16.10.25</t>
  </si>
  <si>
    <t>172.16.10.24</t>
  </si>
  <si>
    <t>172.16.10.26</t>
  </si>
  <si>
    <t>172.16.10.27</t>
  </si>
  <si>
    <t>172.16.10.28</t>
  </si>
  <si>
    <t>172.16.10.30</t>
  </si>
  <si>
    <t>172.16.10.29</t>
  </si>
  <si>
    <t>172.16.10.31</t>
  </si>
  <si>
    <t>172.16.10.32</t>
  </si>
  <si>
    <t>172.16.10.33</t>
  </si>
  <si>
    <t>172.16.10.35</t>
  </si>
  <si>
    <t>172.16.10.34</t>
  </si>
  <si>
    <t>172.16.10.36</t>
  </si>
  <si>
    <t>172.16.10.38</t>
  </si>
  <si>
    <t>172.16.10.37</t>
  </si>
  <si>
    <t>172.16.10.39</t>
  </si>
  <si>
    <t>172.16.10.40</t>
  </si>
  <si>
    <t>172.16.10.41</t>
  </si>
  <si>
    <t>172.16.10.164</t>
  </si>
  <si>
    <t>172.16.10.165</t>
  </si>
  <si>
    <t>合计数量</t>
  </si>
  <si>
    <t>合计金额</t>
  </si>
  <si>
    <t>开通用户数</t>
  </si>
  <si>
    <t>关闭用户数</t>
  </si>
  <si>
    <t>灵动长春-平台侧-数据库单项服务统计</t>
  </si>
  <si>
    <t>灵动长春-平台侧-中间件单项服务统计</t>
  </si>
  <si>
    <t>灵动长春-平台侧-VPN服务单项服务统计</t>
  </si>
  <si>
    <t>本期已关闭，下期不再有此项费用</t>
  </si>
  <si>
    <t>灵动长春-平台侧-操作系统单项服务统计</t>
  </si>
  <si>
    <t>172.16.10.189</t>
  </si>
  <si>
    <t>172.16.10.142</t>
  </si>
  <si>
    <t>172.16.10.70</t>
  </si>
  <si>
    <t>172.16.10.203</t>
  </si>
  <si>
    <t>172.16.10.228</t>
  </si>
  <si>
    <t>172.16.10.221</t>
  </si>
  <si>
    <t>172.16.10.80</t>
  </si>
  <si>
    <t>172.16.10.101</t>
  </si>
  <si>
    <t>172.16.10.85</t>
  </si>
  <si>
    <t>172.16.10.202</t>
  </si>
  <si>
    <t>本月合计费用</t>
  </si>
  <si>
    <t>总计金额</t>
  </si>
  <si>
    <t>ICC-营销侧-堡垒机单项服务统计</t>
  </si>
  <si>
    <t>192.168.187.32</t>
  </si>
  <si>
    <t>192.168.187.28</t>
  </si>
  <si>
    <t>192.168.187.30</t>
  </si>
  <si>
    <t>192.168.187.29</t>
  </si>
  <si>
    <t>192.168.187.26</t>
  </si>
  <si>
    <t>192.168.187.27</t>
  </si>
  <si>
    <t>192.168.187.25</t>
  </si>
  <si>
    <t>192.168.187.24</t>
  </si>
  <si>
    <t>192.168.187.23</t>
  </si>
  <si>
    <t>192.168.187.22</t>
  </si>
  <si>
    <t>192.168.187.21</t>
  </si>
  <si>
    <t>192.168.187.20</t>
  </si>
  <si>
    <t>192.168.187.19</t>
  </si>
  <si>
    <t>192.168.187.18</t>
  </si>
  <si>
    <t>192.168.187.17</t>
  </si>
  <si>
    <t>192.168.187.16</t>
  </si>
  <si>
    <t>192.168.187.15</t>
  </si>
  <si>
    <t>192.168.187.14</t>
  </si>
  <si>
    <t>192.168.187.13</t>
  </si>
  <si>
    <t>192.168.187.12</t>
  </si>
  <si>
    <t>192.168.187.11</t>
  </si>
  <si>
    <t>192.168.187.10</t>
  </si>
  <si>
    <t>192.168.187.8</t>
  </si>
  <si>
    <t>192.168.187.9</t>
  </si>
  <si>
    <t>192.168.187.7</t>
  </si>
  <si>
    <t>192.168.187.6</t>
  </si>
  <si>
    <t>192.168.187.4</t>
  </si>
  <si>
    <t>192.168.187.5</t>
  </si>
  <si>
    <t>192.168.187.3</t>
  </si>
  <si>
    <t>192.168.187.2</t>
  </si>
  <si>
    <t>灵动长春-营销侧-数据库单项服务统计</t>
  </si>
  <si>
    <t>灵动长春-营销侧-VPN服务单项服务统计</t>
  </si>
  <si>
    <t>灵动长春-营销侧-操作系统单项服务统计</t>
  </si>
  <si>
    <t>192.168.187.46</t>
  </si>
  <si>
    <t>192.168.187.47</t>
  </si>
  <si>
    <t>192.168.187.48</t>
  </si>
  <si>
    <t>192.168.187.49</t>
  </si>
  <si>
    <t>192.168.187.50</t>
  </si>
  <si>
    <t>192.168.187.51</t>
  </si>
  <si>
    <t>192.168.187.52</t>
  </si>
  <si>
    <t>192.168.187.53</t>
  </si>
  <si>
    <t>灵动长春-场景侧-堡垒机单项服务统计</t>
  </si>
  <si>
    <t>10.10.0.5</t>
  </si>
  <si>
    <t>10.10.0.4</t>
  </si>
  <si>
    <t>10.10.0.3</t>
  </si>
  <si>
    <t>10.10.0.2</t>
  </si>
  <si>
    <t>10.10.0.7</t>
  </si>
  <si>
    <t>10.10.0.8</t>
  </si>
  <si>
    <t>10.10.0.14</t>
  </si>
  <si>
    <t>10.10.0.15</t>
  </si>
  <si>
    <t>10.10.0.16</t>
  </si>
  <si>
    <t>10.10.0.17</t>
  </si>
  <si>
    <t>10.10.0.18</t>
  </si>
  <si>
    <t>10.10.0.19</t>
  </si>
  <si>
    <t>10.10.0.20</t>
  </si>
  <si>
    <t>10.10.0.21</t>
  </si>
  <si>
    <t>10.10.0.22</t>
  </si>
  <si>
    <t>10.10.0.23</t>
  </si>
  <si>
    <t>10.10.0.24</t>
  </si>
  <si>
    <t>10.10.0.25</t>
  </si>
  <si>
    <t>10.10.0.26</t>
  </si>
  <si>
    <t>10.10.0.27</t>
  </si>
  <si>
    <t>10.10.0.28</t>
  </si>
  <si>
    <t>灵动长春-场景侧-数据库单项服务统计</t>
  </si>
  <si>
    <t>人大金仓数据库-企业版</t>
  </si>
  <si>
    <t>灵动长春-场景侧-VPN服务单项服务统计</t>
  </si>
  <si>
    <t>灵动长春-场景侧-操作系统单项服务统计</t>
  </si>
  <si>
    <t>10.10.0.35</t>
  </si>
  <si>
    <t>10.10.0.36</t>
  </si>
  <si>
    <t>10.10.0.37</t>
  </si>
  <si>
    <t>10.10.0.40</t>
  </si>
  <si>
    <t>10.10.0.39</t>
  </si>
  <si>
    <t>10.10.0.41</t>
  </si>
  <si>
    <t>10.10.0.42</t>
  </si>
  <si>
    <t>10.10.0.49</t>
  </si>
  <si>
    <t>TDSQL-福利商城</t>
  </si>
  <si>
    <t>10.10.0.50</t>
  </si>
  <si>
    <t>TDSQL-敬老餐厅</t>
  </si>
  <si>
    <t>10.10.0.51</t>
  </si>
  <si>
    <t>人大金仓-01</t>
  </si>
  <si>
    <t>10.10.0.52</t>
  </si>
  <si>
    <t>人大金仓-02</t>
  </si>
  <si>
    <t>10.10.0.53</t>
  </si>
  <si>
    <t>人大金仓-03</t>
  </si>
  <si>
    <t>10.10.0.70</t>
  </si>
  <si>
    <t>10.10.0.71</t>
  </si>
  <si>
    <t>10.10.0.72</t>
  </si>
  <si>
    <t>10.10.0.73</t>
  </si>
  <si>
    <t>10.10.0.74</t>
  </si>
  <si>
    <t>10.10.0.75</t>
  </si>
  <si>
    <t>10.10.0.76</t>
  </si>
  <si>
    <t>10.10.0.77</t>
  </si>
  <si>
    <t>10.10.0.78</t>
  </si>
  <si>
    <t>10.10.0.79</t>
  </si>
  <si>
    <t>10.10.0.80</t>
  </si>
  <si>
    <t>10.10.0.81</t>
  </si>
  <si>
    <t>10.10.0.82</t>
  </si>
  <si>
    <t>10.10.0.87</t>
  </si>
  <si>
    <t>正式-TDSQL-福利商城</t>
  </si>
  <si>
    <t>10.10.0.88</t>
  </si>
  <si>
    <t>正式-TDSQL-敬老餐厅</t>
  </si>
  <si>
    <t>10.10.0.89</t>
  </si>
  <si>
    <t>正式-TDSQL-跑腿</t>
  </si>
  <si>
    <t>10.10.0.90</t>
  </si>
  <si>
    <t>正式-TDSQL-生活圈</t>
  </si>
  <si>
    <t>10.10.0.91</t>
  </si>
  <si>
    <t>正式-TDSQL-社区团购</t>
  </si>
  <si>
    <t>10.10.0.92</t>
  </si>
  <si>
    <t>正式-人大金仓-01</t>
  </si>
  <si>
    <t>10.10.0.93</t>
  </si>
  <si>
    <t>正式-人大金仓-02</t>
  </si>
  <si>
    <t>10.10.0.94</t>
  </si>
  <si>
    <t>正式-人大金仓-03</t>
  </si>
  <si>
    <t>10.10.0.216</t>
  </si>
  <si>
    <t>10.10.0.218</t>
  </si>
  <si>
    <t>10.10.0.219</t>
  </si>
  <si>
    <t>10.10.0.220</t>
  </si>
  <si>
    <t>10.10.0.221</t>
  </si>
  <si>
    <t>10.10.0.222</t>
  </si>
  <si>
    <t>10.10.0.223</t>
  </si>
  <si>
    <t>10.10.0.224</t>
  </si>
  <si>
    <t>10.10.0.225</t>
  </si>
  <si>
    <t>10.10.0.226</t>
  </si>
  <si>
    <t>10.10.0.227</t>
  </si>
  <si>
    <t>10.10.0.228</t>
  </si>
  <si>
    <t>10.10.0.229</t>
  </si>
  <si>
    <t>10.10.0.230</t>
  </si>
  <si>
    <t>10.10.0.231</t>
  </si>
  <si>
    <t>10.10.0.232</t>
  </si>
  <si>
    <t>10.10.0.233</t>
  </si>
  <si>
    <t>10.10.0.234</t>
  </si>
  <si>
    <t>10.10.0.235</t>
  </si>
  <si>
    <t>10.10.0.236</t>
  </si>
  <si>
    <t>10.10.0.237</t>
  </si>
  <si>
    <t>10.10.0.238</t>
  </si>
  <si>
    <t>10.10.0.239</t>
  </si>
  <si>
    <t>10.10.0.240</t>
  </si>
  <si>
    <t>10.10.0.241</t>
  </si>
  <si>
    <t>10.10.0.242</t>
  </si>
  <si>
    <t>10.10.0.243</t>
  </si>
  <si>
    <t>10.10.0.244</t>
  </si>
  <si>
    <t>10.10.0.245</t>
  </si>
  <si>
    <t>10.10.0.246</t>
  </si>
  <si>
    <t>10.10.0.247</t>
  </si>
  <si>
    <t>10.10.0.248</t>
  </si>
  <si>
    <t>10.10.0.249</t>
  </si>
  <si>
    <t>10.10.0.250</t>
  </si>
  <si>
    <t>10.10.0.251</t>
  </si>
  <si>
    <t>10.10.0.6</t>
  </si>
  <si>
    <t>10.10.0.67</t>
  </si>
  <si>
    <t>10.10.0.105</t>
  </si>
  <si>
    <t>10.10.0.213</t>
  </si>
  <si>
    <t>ecs-0jblw0vm1qg4tofzbuoq</t>
  </si>
  <si>
    <t>10.10.0.215</t>
  </si>
  <si>
    <t>ecs-hlaqq8uy8s8d7a5w2blv</t>
  </si>
  <si>
    <t>10.10.0.211</t>
  </si>
  <si>
    <t>10.10.0.214</t>
  </si>
  <si>
    <t>10.10.0.217</t>
  </si>
  <si>
    <t>10.10.0.110</t>
  </si>
  <si>
    <t>10.10.0.130</t>
  </si>
  <si>
    <t>10.10.0.137</t>
  </si>
  <si>
    <t>10.10.0.142</t>
  </si>
  <si>
    <t>10.10.0.143</t>
  </si>
  <si>
    <t>10.10.0.149</t>
  </si>
  <si>
    <t>10.10.0.150</t>
  </si>
  <si>
    <t>10.10.0.156</t>
  </si>
  <si>
    <t>10.10.0.180</t>
  </si>
  <si>
    <t>10.10.0.212</t>
  </si>
  <si>
    <t>非急救转运-数据库单项服务统计</t>
  </si>
  <si>
    <t>IP</t>
  </si>
  <si>
    <t>本期计费开始日期</t>
  </si>
  <si>
    <t>本期合计费用</t>
  </si>
  <si>
    <t>非急救转运-VPN服务单项服务统计</t>
  </si>
  <si>
    <t>非急救转运-操作系统单项服务统计</t>
  </si>
  <si>
    <t>内部IP</t>
  </si>
  <si>
    <t>灵动长春-爬虫-堡垒机单项服务统计</t>
  </si>
  <si>
    <t>81.2.60.2</t>
  </si>
  <si>
    <t>灵动长春-爬虫-VPN服务单项服务统计</t>
  </si>
  <si>
    <t>灵动长春-爬虫-操作系统单项服务统计</t>
  </si>
  <si>
    <t>可信数据空间堡垒机单项服务统计</t>
  </si>
  <si>
    <t xml:space="preserve"> 本期计费开始时间</t>
  </si>
  <si>
    <t>截至2026年4月30日应计费天数</t>
  </si>
  <si>
    <t>173.100.102.82</t>
  </si>
  <si>
    <t>173.100.102.81</t>
  </si>
  <si>
    <t>173.100.102.80</t>
  </si>
  <si>
    <t>173.100.102.79</t>
  </si>
  <si>
    <t>173.100.102.12</t>
  </si>
  <si>
    <t>173.100.102.75</t>
  </si>
  <si>
    <t>173.100.102.74</t>
  </si>
  <si>
    <t>173.100.102.72</t>
  </si>
  <si>
    <t>173.100.102.73</t>
  </si>
  <si>
    <t>173.100.102.71</t>
  </si>
  <si>
    <t>173.100.102.69</t>
  </si>
  <si>
    <t>173.100.102.70</t>
  </si>
  <si>
    <t>173.100.102.68</t>
  </si>
  <si>
    <t>173.100.102.67</t>
  </si>
  <si>
    <t>173.100.102.66</t>
  </si>
  <si>
    <t>173.100.102.65</t>
  </si>
  <si>
    <t>173.100.102.13</t>
  </si>
  <si>
    <t>173.100.102.35</t>
  </si>
  <si>
    <t>173.100.102.34</t>
  </si>
  <si>
    <t>173.100.102.33</t>
  </si>
  <si>
    <t>173.100.102.32</t>
  </si>
  <si>
    <t>173.100.102.31</t>
  </si>
  <si>
    <t>173.100.102.30</t>
  </si>
  <si>
    <t>173.100.102.29</t>
  </si>
  <si>
    <t>173.100.102.28</t>
  </si>
  <si>
    <t>173.100.102.27</t>
  </si>
  <si>
    <t>173.100.102.26</t>
  </si>
  <si>
    <t>173.100.102.25</t>
  </si>
  <si>
    <t>173.100.102.24</t>
  </si>
  <si>
    <t>173.100.102.23</t>
  </si>
  <si>
    <t>173.100.102.22</t>
  </si>
  <si>
    <t>173.100.102.21</t>
  </si>
  <si>
    <t>173.100.102.20</t>
  </si>
  <si>
    <t>173.100.102.19</t>
  </si>
  <si>
    <t>173.100.102.18</t>
  </si>
  <si>
    <t>173.100.102.17</t>
  </si>
  <si>
    <t>173.100.102.16</t>
  </si>
  <si>
    <t>173.100.102.15</t>
  </si>
  <si>
    <t>173.100.102.14</t>
  </si>
  <si>
    <t>173.100.102.11</t>
  </si>
  <si>
    <t>173.100.102.10</t>
  </si>
  <si>
    <t>173.100.102.9</t>
  </si>
  <si>
    <t>173.100.102.8</t>
  </si>
  <si>
    <t>173.100.102.7</t>
  </si>
  <si>
    <t>173.100.102.5</t>
  </si>
  <si>
    <t>173.100.102.6</t>
  </si>
  <si>
    <t>173.100.102.4</t>
  </si>
  <si>
    <t>173.100.102.3</t>
  </si>
  <si>
    <t>173.100.102.2</t>
  </si>
  <si>
    <t>173.100.102.108</t>
  </si>
  <si>
    <t>173.100.102.109</t>
  </si>
  <si>
    <t>173.100.102.110</t>
  </si>
  <si>
    <t>173.100.102.111</t>
  </si>
  <si>
    <t>173.100.102.112</t>
  </si>
  <si>
    <t>173.100.102.113</t>
  </si>
  <si>
    <t>173.100.102.114</t>
  </si>
  <si>
    <t>173.100.102.115</t>
  </si>
  <si>
    <t>173.100.102.116</t>
  </si>
  <si>
    <t>173.100.102.117</t>
  </si>
  <si>
    <t>173.100.102.118</t>
  </si>
  <si>
    <t>173.100.102.119</t>
  </si>
  <si>
    <t>173.100.102.120</t>
  </si>
  <si>
    <t>173.100.102.121</t>
  </si>
  <si>
    <t>173.100.102.122</t>
  </si>
  <si>
    <t>173.100.102.123</t>
  </si>
  <si>
    <t>173.100.102.124</t>
  </si>
  <si>
    <t>173.100.102.125</t>
  </si>
  <si>
    <t>173.100.102.126</t>
  </si>
  <si>
    <t>173.100.102.127</t>
  </si>
  <si>
    <t>173.100.102.128</t>
  </si>
  <si>
    <t>173.100.102.129</t>
  </si>
  <si>
    <t>173.100.102.130</t>
  </si>
  <si>
    <t>173.100.102.131</t>
  </si>
  <si>
    <t>173.100.102.132</t>
  </si>
  <si>
    <t>173.100.102.133</t>
  </si>
  <si>
    <t>173.100.102.84</t>
  </si>
  <si>
    <t>173.100.102.85</t>
  </si>
  <si>
    <t>173.100.102.86</t>
  </si>
  <si>
    <t>173.100.102.87</t>
  </si>
  <si>
    <t>173.100.102.88</t>
  </si>
  <si>
    <t>173.100.102.89</t>
  </si>
  <si>
    <t>173.100.102.90</t>
  </si>
  <si>
    <t>173.100.102.91</t>
  </si>
  <si>
    <t>173.100.102.92</t>
  </si>
  <si>
    <t>173.100.102.93</t>
  </si>
  <si>
    <t>173.100.102.94</t>
  </si>
  <si>
    <t>173.100.102.95</t>
  </si>
  <si>
    <t>173.100.102.96</t>
  </si>
  <si>
    <t>173.100.102.97</t>
  </si>
  <si>
    <t>173.100.102.98</t>
  </si>
  <si>
    <t>173.100.102.99</t>
  </si>
  <si>
    <t>173.100.102.100</t>
  </si>
  <si>
    <t>173.100.102.101</t>
  </si>
  <si>
    <t>173.100.102.102</t>
  </si>
  <si>
    <t>173.100.102.103</t>
  </si>
  <si>
    <t>173.100.102.104</t>
  </si>
  <si>
    <t>173.100.102.105</t>
  </si>
  <si>
    <t>173.100.102.106</t>
  </si>
  <si>
    <t>173.100.102.107</t>
  </si>
  <si>
    <t>173.100.102.45</t>
  </si>
  <si>
    <t>100.126.102.2</t>
  </si>
  <si>
    <t>100.126.102.3</t>
  </si>
  <si>
    <t>100.126.102.4</t>
  </si>
  <si>
    <t>100.126.102.5</t>
  </si>
  <si>
    <t>100.126.102.6</t>
  </si>
  <si>
    <t>100.126.102.7</t>
  </si>
  <si>
    <t>100.126.102.8</t>
  </si>
  <si>
    <t>100.126.102.9</t>
  </si>
  <si>
    <t>100.126.102.10</t>
  </si>
  <si>
    <t>100.126.102.11</t>
  </si>
  <si>
    <t>100.126.102.12</t>
  </si>
  <si>
    <t>100.126.102.13</t>
  </si>
  <si>
    <t>100.126.102.14</t>
  </si>
  <si>
    <t>100.126.102.15</t>
  </si>
  <si>
    <t>100.126.102.16</t>
  </si>
  <si>
    <t>100.126.102.17</t>
  </si>
  <si>
    <t>100.126.102.18</t>
  </si>
  <si>
    <t>100.126.102.19</t>
  </si>
  <si>
    <t>100.126.102.20</t>
  </si>
  <si>
    <t>100.126.102.21</t>
  </si>
  <si>
    <t>100.126.102.22</t>
  </si>
  <si>
    <t>100.126.102.23</t>
  </si>
  <si>
    <t>100.126.102.24</t>
  </si>
  <si>
    <t>100.126.102.25</t>
  </si>
  <si>
    <t>100.126.102.26</t>
  </si>
  <si>
    <t>100.126.102.27</t>
  </si>
  <si>
    <t>173.100.102.134</t>
  </si>
  <si>
    <t>173.100.102.135</t>
  </si>
  <si>
    <t>173.100.102.136</t>
  </si>
  <si>
    <t>173.100.102.137</t>
  </si>
  <si>
    <t>173.100.102.138</t>
  </si>
  <si>
    <t>173.100.102.139</t>
  </si>
  <si>
    <t>100.126.102.28</t>
  </si>
  <si>
    <t>100.126.102.29</t>
  </si>
  <si>
    <t>100.126.102.30</t>
  </si>
  <si>
    <t>100.126.102.31</t>
  </si>
  <si>
    <t>100.126.102.32</t>
  </si>
  <si>
    <t>100.126.102.33</t>
  </si>
  <si>
    <t>100.126.102.34</t>
  </si>
  <si>
    <t>100.126.102.35</t>
  </si>
  <si>
    <t>100.126.102.36</t>
  </si>
  <si>
    <t>100.126.102.37</t>
  </si>
  <si>
    <t>100.126.102.38</t>
  </si>
  <si>
    <t>100.126.102.39</t>
  </si>
  <si>
    <t>100.126.102.40</t>
  </si>
  <si>
    <t>100.126.102.41</t>
  </si>
  <si>
    <t>100.126.102.42</t>
  </si>
  <si>
    <t>100.126.102.43</t>
  </si>
  <si>
    <t>100.126.102.44</t>
  </si>
  <si>
    <t>100.126.102.45</t>
  </si>
  <si>
    <t>100.126.102.46</t>
  </si>
  <si>
    <t>100.126.102.47</t>
  </si>
  <si>
    <t>100.126.102.48</t>
  </si>
  <si>
    <t>100.126.102.49</t>
  </si>
  <si>
    <t>100.126.102.50</t>
  </si>
  <si>
    <t>100.126.102.51</t>
  </si>
  <si>
    <t>100.126.102.52</t>
  </si>
  <si>
    <t>100.126.102.53</t>
  </si>
  <si>
    <t>100.126.102.54</t>
  </si>
  <si>
    <t>100.126.102.55</t>
  </si>
  <si>
    <t>100.126.102.56</t>
  </si>
  <si>
    <t>100.126.102.57</t>
  </si>
  <si>
    <t>100.126.102.58</t>
  </si>
  <si>
    <t>100.126.102.74</t>
  </si>
  <si>
    <t>100.126.102.75</t>
  </si>
  <si>
    <t>100.126.102.76</t>
  </si>
  <si>
    <t>100.126.102.77</t>
  </si>
  <si>
    <t>100.126.102.78</t>
  </si>
  <si>
    <t>100.126.102.79</t>
  </si>
  <si>
    <t>100.126.102.80</t>
  </si>
  <si>
    <t>100.126.102.81</t>
  </si>
  <si>
    <t>100.126.102.82</t>
  </si>
  <si>
    <t>100.126.102.83</t>
  </si>
  <si>
    <t>100.126.102.84</t>
  </si>
  <si>
    <t>100.126.102.85</t>
  </si>
  <si>
    <t>100.126.102.86</t>
  </si>
  <si>
    <t>100.126.102.87</t>
  </si>
  <si>
    <t>100.126.102.88</t>
  </si>
  <si>
    <t>100.126.102.89</t>
  </si>
  <si>
    <t>100.126.102.90</t>
  </si>
  <si>
    <t>100.126.102.91</t>
  </si>
  <si>
    <t>100.126.102.92</t>
  </si>
  <si>
    <t>100.126.102.93</t>
  </si>
  <si>
    <t>100.126.102.94</t>
  </si>
  <si>
    <t>可信数据空间VPN服务单项服务统计</t>
  </si>
  <si>
    <t>可信数据空间-操作系统单项服务统计</t>
  </si>
  <si>
    <t>cke上paas产品</t>
  </si>
  <si>
    <t>分析型数据库</t>
  </si>
  <si>
    <t>连接器</t>
  </si>
  <si>
    <t>开源社区</t>
  </si>
  <si>
    <t>开源数据管理</t>
  </si>
  <si>
    <t>Doris(计算引擎)</t>
  </si>
  <si>
    <t>DataIQ</t>
  </si>
  <si>
    <t>沙箱</t>
  </si>
  <si>
    <t>即时通讯</t>
  </si>
  <si>
    <t>智能服务开发与本地知识库</t>
  </si>
  <si>
    <t>可信安全-管理平台</t>
  </si>
  <si>
    <t>可信安全-管控端</t>
  </si>
  <si>
    <t>区域功能节点</t>
  </si>
  <si>
    <t>缓存型数据库（redis）</t>
  </si>
  <si>
    <t>全文检索库（es）</t>
  </si>
  <si>
    <t>统一用户认证平台</t>
  </si>
  <si>
    <t>区块链服务平台</t>
  </si>
  <si>
    <t>合同管理系统</t>
  </si>
  <si>
    <t>城市可信数据空间统一门户</t>
  </si>
  <si>
    <t>数据流通利用平台</t>
  </si>
  <si>
    <t>开发利用平台</t>
  </si>
  <si>
    <t>Doris-1</t>
  </si>
  <si>
    <t>Doris-2</t>
  </si>
  <si>
    <t>Doris-3</t>
  </si>
  <si>
    <t>Doris-4</t>
  </si>
  <si>
    <t>Doris-5</t>
  </si>
  <si>
    <t>Doris-6</t>
  </si>
  <si>
    <t>可信数据空间-数据库单项服务统计</t>
  </si>
  <si>
    <t>目录系统-VPN服务单项服务统计</t>
  </si>
  <si>
    <t>目录系统-操作系统单项服务统计</t>
  </si>
  <si>
    <t>173.100.102.76</t>
  </si>
  <si>
    <t>173.100.102.77</t>
  </si>
  <si>
    <t>173.100.102.78</t>
  </si>
  <si>
    <t>国企数字化转型-VPN服务单项服务统计</t>
  </si>
  <si>
    <t>国企数字化转型-操作系统单项服务统计</t>
  </si>
  <si>
    <t>170.17.7.2</t>
  </si>
  <si>
    <t>170.17.7.3</t>
  </si>
  <si>
    <t>170.17.7.4</t>
  </si>
  <si>
    <t>170.17.7.5</t>
  </si>
  <si>
    <t>170.17.7.6</t>
  </si>
  <si>
    <t>170.17.7.7</t>
  </si>
  <si>
    <t>170.17.7.17</t>
  </si>
  <si>
    <t>湖仓一体化-堡垒机单项服务统计</t>
  </si>
  <si>
    <t>173.100.112.11</t>
  </si>
  <si>
    <t>173.100.112.12</t>
  </si>
  <si>
    <t>173.100.112.13</t>
  </si>
  <si>
    <t>173.100.112.14</t>
  </si>
  <si>
    <t>173.100.112.15</t>
  </si>
  <si>
    <t>173.100.112.16</t>
  </si>
  <si>
    <t>173.100.112.8</t>
  </si>
  <si>
    <t>173.100.112.9</t>
  </si>
  <si>
    <t>173.100.112.10</t>
  </si>
  <si>
    <t>湖仓一体化-操作系统单项服务统计</t>
  </si>
  <si>
    <t>116.142.237.235</t>
  </si>
  <si>
    <t>绿洲平台</t>
  </si>
  <si>
    <t>116.142.237.234</t>
  </si>
  <si>
    <t>大数据</t>
  </si>
  <si>
    <t>116.142.237.251</t>
  </si>
  <si>
    <t>MPP</t>
  </si>
  <si>
    <t>集团业务堡垒机单项服务统计</t>
  </si>
  <si>
    <t>181.188.10.7</t>
  </si>
  <si>
    <t>181.188.10.8</t>
  </si>
  <si>
    <t>181.188.10.6</t>
  </si>
  <si>
    <t>集团业务--VPN服务单项服务统计</t>
  </si>
  <si>
    <t>集团业务-操作系统单项服务统计</t>
  </si>
  <si>
    <t>集团研发-VPN服务单项服务统计</t>
  </si>
  <si>
    <t>集团研发-操作系统单项服务统计</t>
  </si>
  <si>
    <t>181.188.10.2</t>
  </si>
  <si>
    <t>181.188.10.4</t>
  </si>
  <si>
    <t>181.188.10.5</t>
  </si>
  <si>
    <t>181.188.10.3</t>
  </si>
  <si>
    <t>华为云火山-VPN服务单项服务统计</t>
  </si>
  <si>
    <t>华为云火山-操作系统单项服务统计</t>
  </si>
  <si>
    <t>192.168.216.77</t>
  </si>
  <si>
    <t>192.168.216.230</t>
  </si>
  <si>
    <t>192.168.216.184</t>
  </si>
  <si>
    <t>192.168.216.20</t>
  </si>
  <si>
    <t>192.168.216.83</t>
  </si>
  <si>
    <t>192.168.216.46</t>
  </si>
  <si>
    <t>192.168.216.147</t>
  </si>
  <si>
    <t>192.168.216.62</t>
  </si>
  <si>
    <t>192.168.216.92</t>
  </si>
  <si>
    <t>192.168.216.88</t>
  </si>
  <si>
    <t>192.168.216.238</t>
  </si>
  <si>
    <t>192.168.216.42</t>
  </si>
  <si>
    <t>192.168.216.101</t>
  </si>
  <si>
    <t>192.168.216.9</t>
  </si>
  <si>
    <t>内网IP</t>
  </si>
  <si>
    <t>华为云火山-数据库单项服务统计</t>
  </si>
  <si>
    <t>国产关系型数据库-OceanBase</t>
  </si>
  <si>
    <t>华为车路云-VPN服务单项服务统计</t>
  </si>
  <si>
    <t>华为车路云-操作系统单项服务统计</t>
  </si>
  <si>
    <t>192.168.247.186</t>
  </si>
  <si>
    <t>192.168.247.92</t>
  </si>
  <si>
    <t>192.168.247.185</t>
  </si>
  <si>
    <t>192.168.247.90</t>
  </si>
  <si>
    <t>192.168.247.62</t>
  </si>
  <si>
    <t>192.168.247.44</t>
  </si>
  <si>
    <t>192.168.247.124</t>
  </si>
  <si>
    <t>192.168.247.24</t>
  </si>
  <si>
    <t>192.168.247.189</t>
  </si>
  <si>
    <t>192.168.247.82</t>
  </si>
  <si>
    <t>192.168.247.210</t>
  </si>
  <si>
    <t>192.168.247.221</t>
  </si>
  <si>
    <t>192.168.247.230</t>
  </si>
  <si>
    <t>192.168.247.251</t>
  </si>
  <si>
    <t>192.168.247.19</t>
  </si>
  <si>
    <t>完成时间</t>
  </si>
  <si>
    <t>二月应付费用</t>
  </si>
  <si>
    <t>z</t>
  </si>
  <si>
    <t>云服务采购项目-03包云环境国产化软件及安全服务采购结算价格</t>
  </si>
  <si>
    <t>服务分类</t>
  </si>
  <si>
    <t>服务内容</t>
  </si>
  <si>
    <t>服务详情</t>
  </si>
  <si>
    <t>服务内容描述</t>
  </si>
  <si>
    <t>清单目录单价 (元)</t>
  </si>
  <si>
    <t>折扣系数</t>
  </si>
  <si>
    <t>实际单价（元）</t>
  </si>
  <si>
    <t>国产关系型数据库务</t>
  </si>
  <si>
    <t>达梦数据库-标准版</t>
  </si>
  <si>
    <t>达梦数据库集群版</t>
  </si>
  <si>
    <t>人大金仓数据库-标准版</t>
  </si>
  <si>
    <t>人大金仓数据库集群版</t>
  </si>
  <si>
    <t>神通数据库管理软件</t>
  </si>
  <si>
    <t>神通数据库管理软件订阅版</t>
  </si>
  <si>
    <t>华为Gauss数据库</t>
  </si>
  <si>
    <t>华为Taurus数据库</t>
  </si>
  <si>
    <t>海量数据库管理软件</t>
  </si>
  <si>
    <t>国产向量数据库</t>
  </si>
  <si>
    <t>海贝TRSv10</t>
  </si>
  <si>
    <t>节点</t>
  </si>
  <si>
    <t>海贝TRSv10维保费</t>
  </si>
  <si>
    <t>节点/每年</t>
  </si>
  <si>
    <t>向量数据库</t>
  </si>
  <si>
    <t>南大通用向量数据库系统GBase 8a</t>
  </si>
  <si>
    <t>1.南大通用集中式安全数据库管理系统;
2.南大通用分布式数据库集群系统;
3.南大通用向量数据库系统（定制化）;
报价为三种任选其一</t>
  </si>
  <si>
    <t>国产图数据库</t>
  </si>
  <si>
    <t>GDMBASE蜀天梦图数据库</t>
  </si>
  <si>
    <t>GDMBASE蜀天梦图数据库标准版（单节点部署）</t>
  </si>
  <si>
    <t>套</t>
  </si>
  <si>
    <t>GDMBASE蜀天梦图数据库企业版版（支持分布式部署，最少3节点）</t>
  </si>
  <si>
    <t>蜀天梦图知识图谱平台</t>
  </si>
  <si>
    <t>蚂蚁TuGraph</t>
  </si>
  <si>
    <t>国产中间件</t>
  </si>
  <si>
    <t>东方通中间件</t>
  </si>
  <si>
    <t>金蝶中间件</t>
  </si>
  <si>
    <t>金蝶Apusic应用服务器软件</t>
  </si>
  <si>
    <t>宝蓝德</t>
  </si>
  <si>
    <t>宝兰德应用服务器软件订阅版</t>
  </si>
  <si>
    <t>普元</t>
  </si>
  <si>
    <t>普元应用服务器软件</t>
  </si>
  <si>
    <t>中创</t>
  </si>
  <si>
    <t>中创应用服务器软件企业版-订阅-按年</t>
  </si>
  <si>
    <t>操作系统</t>
  </si>
  <si>
    <t>统信服务器操作系统订阅版</t>
  </si>
  <si>
    <t>中标麒麟等操作</t>
  </si>
  <si>
    <t>镜像</t>
  </si>
  <si>
    <t>ubuntu</t>
  </si>
  <si>
    <t>主机安全防护-VM</t>
  </si>
  <si>
    <t>1、病毒查杀：病毒查杀能力，支持强力查杀功能，对于无法普通隔离的病毒文件强制停止进程并隔离或动态移除到删除队列；2、进程防护：使用内核驱动技术，每当有进程启动时从操作系统内核中可以得到通知，获取到包括进程路径等一系列上下文信息后，可以根据用户设置的白名单直接拒绝或放行；3、可疑行为检测：监控操作系统中横向命令，及时告警；4、异常进程行为监控：提供策略级异常进程监控能力；5、网络对外连接审计：实时记录进程对外连接情况，提供通信矩阵视图。</t>
  </si>
  <si>
    <t>VM/日</t>
  </si>
  <si>
    <t>主机安全防护-PC</t>
  </si>
  <si>
    <t>PC/日</t>
  </si>
  <si>
    <t>网页防篡改-单节点</t>
  </si>
  <si>
    <t>1、网页文件保护：动态和静态网页文件进行保护，设置网站目录、文件的读写权限，限制文件目录的增、删、改操作行为，确保网页文件不被非法篡改；2、网络攻击防护：防止SQL注入式攻击。防攻击模块的安全特征库会定期升级，保障其强大的检测和防御能力；3、集中管理：监测多主机实时状态，制定保护规则，接收Web服务器的报警和日志信息，并可对Web服务器的日志和报警情况做统计析；4、实时告警：对非法篡改行为，系统会自动记录报警日志，并通过手机短信、电子邮件、Syslog、SNMP等多种方式通知管理员。</t>
  </si>
  <si>
    <t>支持1个资产1、账号管理：集中管理所有服务器、网络设备账号，对账号整个生命周期进行监控和管理；2、身份认证：提供多种认证方式的统一认证接口，支持与第三方认证服务器结合；3、资源授权：提供统一的界面对用户、角色及行为和资源进行授权，达到对权限的细粒度控制；4、访问控制：提供自定义控制策略配置，实现细粒度的访问控制；5、操作审计：审计账号使用（登录、资源访问）情况、资源使用情况等，并提供全方面的运维审计报表。</t>
  </si>
  <si>
    <t>最大支持20个资产，20个并发会话数。</t>
  </si>
  <si>
    <t>云堡垒机（50资产）</t>
  </si>
  <si>
    <t>1、支持50个资产、50个并发会话数。2、账号管理：集中管理所有服务器、网络设备账号，对账号整个生命周期进行监控和管理；3、身份认证：提供多种认证方式的统一认证接口，支持与第三方认证服务器结合；4、资源授权：提供统一的界面对用户、角色及行为和资源进行授权，达到对权限的细粒度控制；5、访问控制：提供自定义控制策略配置，实现细粒度的访问控制；5、操作审计：审计账号使用（登录、资源访问）情况、资源使用情况等，并提供全方面的运维审计报表。6、资产授权：不限资产数量。</t>
  </si>
  <si>
    <t>云堡垒机（100资产）</t>
  </si>
  <si>
    <t>100资产授权，即可以纳管100台资产（如服务器、数据库、网络设备等）。</t>
  </si>
  <si>
    <t>云堡垒机（不限资产数量）</t>
  </si>
  <si>
    <t>1、账号管理：集中管理所有服务器、网络设备账号，对账号整个生命周期进行监控和管理；
2、身份认证：提供多种认证方式的统一认证接口，支持与第三方认证服务器结合；
3、资源授权：提供统一的界面对用户、角色及行为和资源进行授权，达到对权限的细粒度控制；
4、访问控制：提供自定义控制策略配置，实现细粒度的访问控制；
5、操作审计：审计账号使用（登录、资源访问）情况、资源使用情况等，并提供全方面的运维审计报表；
6、资产授权：不限资产数量。</t>
  </si>
  <si>
    <t>日志审计-单日志源</t>
  </si>
  <si>
    <t>1、日志审计要求提供全面的智能收集功能。包括通过连接检查和完整性检查以及可自定义的缓存功能，确保系统接收到所有数据，配置过滤和聚合功能可以消除无关数据，并且合并重复的设备日志；
2、标准化日志：将各类日志统一进行解析识别，包括各种安全事件日志（攻击、入侵、异常）、各种行为事件日志（内控、违规）、各种弱点扫描日志（弱点、漏洞）、各种状态监控日志（可用性、性能、状态）；
3、日志解析能力：解析功能和动态规划算法，实现灵活的未解析日志事件处理，同时支持多种解析方法（如正则表达式、分隔符、MIB信息映射配置等）。要求保证事件分析保持高效率和及时性；
4、提供服务器、安全设备等日志审计与分析；支持日志源数量：1个；通过专享安全服务方式，对网络设备、安全设备、主机和应用系统日志进行全面的标准化处理，及时发现各种安全威胁、异常行为事件，为管理人员提供全局的视角，确保业务的不间断运营安全。
5、不包含云化部署需要占用的云资源。</t>
  </si>
  <si>
    <t>日志审计-20日志源</t>
  </si>
  <si>
    <t>、日志审计要求提供全面的智能收集功能。包括通过连接检查和完整性检查以及可自定义的缓存功能，确保系统接收到所有数据，配置过滤和聚合功能可以消除无关数据，并且合并重复的设备日志；2、标准化日志：将各类日志统一进行解析识别，包括各种安全事件日志（攻击、入侵、异常）、各种行为事件日志（内控、违规）、各种弱点扫描日志（弱点、漏洞）、各种状态监控日志（可用性、性能、状态）；3、日志解析能力：解析功能和动态规划算法，实现灵活的未解析日志事件处理，同时支持多种解析方法（如正则表达式、分隔符、MIB信息映射配置等）。要求保证事件分析保持高效率和及时性；4、提供服务器、安全设备等日志审计与分析；支持日志源数量：20个；通过专享安全服务方式，对网络设备、安全设备、主机和应用系统日志进行全面的标准化处理，及时发现各种安全威胁、异常行为事件，为管理人员提供全局的视角，确保业务的不间断运营安全。5、不包含云化部署需要占用的云资源。</t>
  </si>
  <si>
    <t>日志审计-50日志源</t>
  </si>
  <si>
    <t>1、日志审计要求提供全面的智能收集功能。包括通过连接检查和完整性检查以及可自定义的缓存功能，确保系统接收到所有数据，配置过滤和聚合功能可以消除无关数据，并且合并重复的设备日志；2、标准化日志：将各类日志统一进行解析识别，包括各种安全事件日志（攻击、入侵、异常）、各种行为事件日志（内控、违规）、各种弱点扫描日志（弱点、漏洞）、各种状态监控日志（可用性、性能、状态）；3、日志解析能力：解析功能和动态规划算法，实现灵活的未解析日志事件处理，同时支持多种解析方法（如正则表达式、分隔符、MIB信息映射配置等）。要求保证事件分析保持高效率和及时性；4、提供服务器、安全设备等日志审计与分析；支持日志源数量：50个；通过专享安全服务方式，对网络设备、安全设备、主机和应用系统日志进行全面的标准化处理，及时发现各种安全威胁、异常行为事件，为管理人员提供全局的视角，确保业务的不间断运营安全。5、不包含云化部署需要占用的云资源。</t>
  </si>
  <si>
    <t>日志审计-100日志源</t>
  </si>
  <si>
    <t>1、日志审计要求提供全面的智能收集功能。包括通过连接检查和完整性检查以及可自定义的缓存功能，确保系统接收到所有数据，配置过滤和聚合功能可以消除无关数据，并且合并重复的设备日志；2、标准化日志：将各类日志统一进行解析识别，包括各种安全事件日志（攻击、入侵、异常）、各种行为事件日志（内控、违规）、各种弱点扫描日志（弱点、漏洞）、各种状态监控日志（可用性、性能、状态）；3、日志解析能力：解析功能和动态规划算法，实现灵活的未解析日志事件处理，同时支持多种解析方法（如正则表达式、分隔符、MIB信息映射配置等）。要求保证事件分析保持高效率和及时性。4、提供服务器、安全设备等日志审计与分析；支持日志源数量100个；通过专享安全服务方式，对网络设备、安全设备、主机和应用系统日志进行全面的标准化处理，及时发现各种安全威胁、异常行为事件，为管理人员提供全局的视角，确保业务的不间断运营安全。5、不包含云化部署需要占用的云资源。</t>
  </si>
  <si>
    <t>数据库审计（1个数据库实例）</t>
  </si>
  <si>
    <t>1、要求提供事前安全风险评估：自动完成对多种数据库配置、潜在弱点、数据库用户弱口令、数据库软件补丁等的漏洞检测；2、实时行为监控：数据库审计服务会自动根据预设置的风险控制策略，结合对数据库活动的实时监控信息，进行特征检测及审计规则检测，任何尝试的攻击或违反审计规则的操作都会被检测到并实时阻断或告警；3、双向审计：系统通过对双向数据包的解析、识别及还原，不仅对数据库操作请求进行实时审计，利于事后的取证和追溯；4、要求支持多种数据库接口进行审计。支持的数据库类型：MySQL、Oracle、PostgreSQL、SQLServer、(DM8）、金仓（V8）等；5、不包含云化部署需要占用的云资源。</t>
  </si>
  <si>
    <t>数据库审计（5个数据库实例）</t>
  </si>
  <si>
    <t>1、要求提供事前安全风险评估：自动完成对多种数据库配置、潜在弱点、数据库用户弱口令、数据库软件补丁等的漏洞检测；2、实时行为监控：数据库审计服务会自动根据预设置的风险控制策略，结合对数据库活动的实时监控信息，进行特征检测及审计规则检测，任何尝试的攻击或违反审计规则的操作都会被检测到并实时阻断或告警；3、双向审计：系统通过对双向数据包的解析、识别及还原，不仅对数据库操作请求进行实时审计，利于事后的取证和追溯；4、要求支持多种数据库接口进行审计。支持的数据库类型：MySQL、Oracle、PostgreSQL、SQLServer、(DM8）、金仓（V8）等。5、不包含云化部署需要占用的云资源。</t>
  </si>
  <si>
    <t>数据库审计（10个数据库实例）</t>
  </si>
  <si>
    <t>防火墙（500M吞吐量）</t>
  </si>
  <si>
    <t>1、500M吞吐量，包含FW/IPS/AV模块；全面保障L2-L7安全的安全网关产品。通过专享安全服务方式，以用户识别、应用识别为基础，提供防火墙、入侵防护、防病毒、内容过滤、URL过滤等多重安全功能。2、不包含云化部署需要占用的云资源。</t>
  </si>
  <si>
    <t>防火墙（1G吞吐量）</t>
  </si>
  <si>
    <t>1、1G吞吐量，包含FW/IPS/AV模块；全面保障L2-L7安全的安全网关产品。通过专享安全服务方式，以用户识别、应用识别为基础，提供防火墙、入侵防护、防病毒、内容过滤、URL过滤等多重安全功能。2、不包含云化部署需要占用的云资源。</t>
  </si>
  <si>
    <t>防火墙（2G吞吐量）</t>
  </si>
  <si>
    <t>1、2G吞吐量，包含FW/IPS/AV模块；全面保障L2-L7安全的安全网关产品。通过专享安全服务方式，以用户识别、应用识别为基础，提供防火墙、入侵防护、防病毒、内容过滤、URL过滤等多重安全功能。2、不包含云化部署需要占用的云资源。</t>
  </si>
  <si>
    <t>1、在通信双方之间建立加密连接的方法保证数据传输的机密性，建立传输安全防护体系，解决了数据在传输过程中被非法获取、篡改的风险。提供授权数量：10用户。2、不包含云化部署需要占用的云资源。</t>
  </si>
  <si>
    <t>VPN-50用户</t>
  </si>
  <si>
    <t>1、在通信双方之间建立加密连接的方法保证数据传输的机密性，建立传输安全防护体系，解决了数据在传输过程中被非法获取、篡改的风险。提供授权数量：50用户。2、不包含云化部署需要占用的云资源。</t>
  </si>
  <si>
    <t>VPN-100用户</t>
  </si>
  <si>
    <t>在通信双方之间建立加密连接的方法保证数据传输的机密性，建立传输安全防护体系，解决了数据在传输过程中被非法获取、篡改的风险。提供授权数量：100用户。2、不包含云化部署需要占用的云资源。</t>
  </si>
  <si>
    <t>VPN-500用户</t>
  </si>
  <si>
    <t>1、在通信双方之间建立加密连接的方法保证数据传输的机密性，建立传输安全防护体系，解决了数据在传输过程中被非法获取、篡改的风险。提供授权数量：500用户。2、不包含云化部署需要占用的云资源。</t>
  </si>
  <si>
    <t>WEB应用防火墙－站点授权</t>
  </si>
  <si>
    <t>单实例保护1个域名，防护带宽10Mpbs。</t>
  </si>
  <si>
    <t>WEB应用防火墙-20M防护流量授权</t>
  </si>
  <si>
    <t>WEB应用防火墙－防护流量20Mbps，HTTP最大新建连接数3000，HTTP最大并发连接数30000；Web应用防火墙是一款专注为网站、APP等Web应用提供安全防护的专业应用安全防护产品。通过专享安全服务方式，实现HTTP协议规范性检查、注入攻击防护、跨站脚本攻击防护、网页木马防护、信息泄露防护、三方组件漏洞防护、CSRF跨站请求伪造防护等能力。</t>
  </si>
  <si>
    <t>WEB应用防火墙-50M防护流量授权</t>
  </si>
  <si>
    <t>防护流量50Mbps，HTTP最大并发连接数50000，HTTP最大新建数5000；Web应用防火墙是一款专注为网站、APP等Web应用提供安全防护的专业应用安全防护产品。通过专享安全服务方式，实现HTTP协议规范性检查、注入攻击防护、跨站脚本攻击防护、网页木马防护、信息泄露防护、三方组件漏洞防护、CSRF跨站请求伪造防护等能力。</t>
  </si>
  <si>
    <t>APT威胁检测（100M）</t>
  </si>
  <si>
    <t>性能：100M；对各种WEB攻击、邮件社工类攻击进行检测；多维度全方位发现失陷主机；识别内网中横向扩散及渗透攻击行为；对检测对象的会话特征进行多维度监控统计；对流量中的资产进行统计分析；提供综合威胁分析、主机威胁分析、外部威胁分析等多个智能报表；提供综合管理和关联分析能力。</t>
  </si>
  <si>
    <t>APT威胁检测（1G）</t>
  </si>
  <si>
    <t>性能：1G；对各种WEB攻击、邮件社工类攻击进行检测；多维度全方位发现失陷主机；识别内网中横向扩散及渗透攻击行为；对检测对象的会话特征进行多维度监控统计；对流量中的资产进行统计分析；提供综合威胁分析、主机威胁分析、外部威胁分析等多个智能报表；提供综合管理和关联分析能力。</t>
  </si>
  <si>
    <t>态势感知服务</t>
  </si>
  <si>
    <t>可信计算</t>
  </si>
  <si>
    <t>可信主机防护系统</t>
  </si>
  <si>
    <t>对云平台内所有形态主机进行可信管控</t>
  </si>
  <si>
    <t>核/日</t>
  </si>
  <si>
    <t>可信边缘防护系统</t>
  </si>
  <si>
    <t>对边缘计算装置整体运行提供可靠安全保障</t>
  </si>
  <si>
    <t>点/日</t>
  </si>
  <si>
    <t>可信终端防护系统</t>
  </si>
  <si>
    <t>对可信终端提供安全保障</t>
  </si>
  <si>
    <t>等级保护二级所需的基本能力套餐</t>
  </si>
  <si>
    <t>支持等保二级云防护基础版包括：防火墙50M，主机EDR（不含防篡改）10个授权，堡垒机10个授权，日志审计10个授权。</t>
  </si>
  <si>
    <t>实例/日</t>
  </si>
  <si>
    <t>提供等级保护三级所需的基本能力套餐</t>
  </si>
  <si>
    <t>支持等保三级云防护基础版、下一代防火墙50M，主机EDR（不含防篡改）10个授权，堡垒机10个授权，日志审计10个授权、数据库审计实例2个、洞扫描10个资产/IP。</t>
  </si>
  <si>
    <t>密码安全服务</t>
  </si>
  <si>
    <t>时间戳服务</t>
  </si>
  <si>
    <t>对外提供时间戳签署服务，包括数字时间戳、交叉认证等。（软件镜像）</t>
  </si>
  <si>
    <t>项</t>
  </si>
  <si>
    <t>协同签名服务</t>
  </si>
  <si>
    <t>面向移动终端软件密码模块提供证书管理、密钥管理、协同运算等服务。（软件镜像）</t>
  </si>
  <si>
    <t>电子签章服务</t>
  </si>
  <si>
    <t>根据业务应用场景需要集成其他签名类密码产品，扩展出对应的密码安全服务，比如电子签章制作、电子签章验证服务等，使用签章次数不限。（软件镜像）</t>
  </si>
  <si>
    <t>数据库透明加密服务</t>
  </si>
  <si>
    <t>对数据库实现安全加固，有效解决数据库存储文件明文泄漏、数据库管理员对敏感数据的非法访问、绕过合法应用的数据库操作等安全风险。（软件镜像）</t>
  </si>
  <si>
    <t>二级密码模块服务</t>
  </si>
  <si>
    <t>满足用户对移动办公场景中用户证书、密钥的使用安全需求。密码模块采用了 SM2、SM3、SM4等密码算法，对外提供标准的密码应用接口，并支持为第三方应用提供密码运算、证书管理等功能提供安全服务、空中发证、签名验签服务、运营管理服务、增值信息服务等能力。（软件产品）</t>
  </si>
  <si>
    <t>智能密码钥匙（USBKey）</t>
  </si>
  <si>
    <t>数字证书和私钥的安全载体，支持在硬件中进行加密运算，保证数字证书和私钥的合法使用。（硬件产品）</t>
  </si>
  <si>
    <t>个</t>
  </si>
  <si>
    <t>个人数字证书</t>
  </si>
  <si>
    <t>由可信认证机构（CA）颁发，用于验证个人客户端身份、加密传输数据及保障数据完整性。</t>
  </si>
  <si>
    <t>个/年</t>
  </si>
  <si>
    <t>站点数字证书</t>
  </si>
  <si>
    <t>由可信认证机构（CA）颁发，用于验证服务器与客户端身份、加密传输数据及保障数据完整性。</t>
  </si>
  <si>
    <t>国密浏览器</t>
  </si>
  <si>
    <t>在云平台与云平台管理员、租户之间建立安全通信通道，部署在客户端；兼容SM2、SM3、SM4等密码算法；支持双证书体系（加密证书+签名证书），强化通信链路安全性，自动识别并调用合规加密模块，确保业务系统无缝衔接。（软件产品）</t>
  </si>
  <si>
    <t>密码综合管理服务</t>
  </si>
  <si>
    <t>对云上应用系统提供统一对外服务接口，对业务应用系统重要数据的不同算法、不同类型、不同方式的加解密服务，以及身份认证、数字签名服务、数字验签服务、数据加密服务、数据解密服务等，并支持对密码设备、资源的集中管理、密钥的集中管理、密码应用的态势感知。（软件平台）</t>
  </si>
  <si>
    <t>云服务器密码机</t>
  </si>
  <si>
    <t>为密码综合管理服务平台提供密钥管理服务，将物理服务器密码机的网络虚拟成不同网络的服务器密码设备，可以为不同网段上的用户应用提供密码服务，处于不同网段的服务器密码机之间网络隔离。通过划分密钥存储区域实现密钥隔离，对密钥进行全程加密。以及密钥生命周期管理，提供密钥托管、对称密钥管理和非对称密钥管理等功能。（硬件设备）</t>
  </si>
  <si>
    <t>台</t>
  </si>
  <si>
    <t>网络和通讯安全传输服务</t>
  </si>
  <si>
    <t>通过隧道技术将数据链路层的数据包封装后传输，使得用户能够通过公共网络实现安全的点对点连接。（硬件设备）</t>
  </si>
  <si>
    <t>咨询服务</t>
  </si>
  <si>
    <t>业务应系统调研（系统现状、关键业务数据、业务流程等梳理）、密码应用风险分析，密码应用需求分析，密码应用符合性分析，密码应用总体应用框架设计，密码应用关键应用流程设计等；根据用户应用情况定制密码应用方案。（咨询服务）</t>
  </si>
  <si>
    <t>次</t>
  </si>
  <si>
    <t>运行安全服务</t>
  </si>
  <si>
    <t>渗透测试服务－针对重要系统</t>
  </si>
  <si>
    <t>渗透测试服务－针对单个业务系统。1.服务内容：通过人工方式，采取黑盒的测试形式，发现网络和业务系统中网络和系统存在的安全缺陷，提供渗透测试报告和改进建议。对应用系统按照业务流程进行渗透测试工作，测试范围包括应用系统、中间件、操作系统、数据库、接口程序等；2.服务形式：提供云端安全渗透测试专家+提供1名驻场渗透测试工程师；3.服务要求：提供必要的渗透工具，根据应用系统建设方的需求，对前端、应用服务器和APP程序进行渗透测试，漏洞修复后进行复测验证修复效果，提供《渗透测试报告》；4.服务范围：云上系统。</t>
  </si>
  <si>
    <t>系统/次</t>
  </si>
  <si>
    <t>源代码安全检查－针对重要系统</t>
  </si>
  <si>
    <t>源代码安全检查－针对单个业务系统；依据OWASPTOP10，通过工具扫描、人工确认、人工代码抽查等方式，对Web应用进行脆弱性（SQL注入、跨站脚本等）、权限（权限控制不严格、表单逻辑处理错误等）、结构的安全检查，发现源代码中存在的安全风险。审计语言包括：Java、C#、PHP、C/C++、Python、Beego等。审计范围包括：
1、第三方类库安全审计：由资深代码审计工程师对信息系统开发过程中所引入的第三方类库进行漏洞审计，依据CNVD、CVE出具第三方类库漏洞审计内容，提供修复建议；
2、前后端开发技术框架安全审计：由资深代码审计工程师对搭建信息系统所使用的前后端技术架构进行安全审计，依据CNVD、CVE出具前后端开发技术架构洞审计内容，提供修复建议；
3、开源插件、组件安全审计：由资深代码审计工程师对搭建信息系统所使用的开源插件、组件进行安全审计，依据CNVD、CVE出具开源插件、组件漏洞审计内容，提供修复建议。</t>
  </si>
  <si>
    <t>攻防演练评估服务</t>
  </si>
  <si>
    <t>全云全域范围。
1.服务内容：通过安全服务商尽可能最真实且现实的方式模拟可能的攻击者的行为和技术，为客户提供测试安全策略与防范技术的有效性的服务。检测网络安全纵深防护能力、应急响应手段是否有效以及清楚的了解高级攻击产生的最大危害，帮助客户强化防护能力、完善应急响应手段、引导正确的安全建设方向等；
2.服务形式：在攻防演练服务期间，至少提供4名现场安全防守专家+云端支持团队+安全攻防相关专业工具；
3.服务要求：远程加现场以人工评估为主，安全攻防专家使用专业攻防技术工具为辅，采取信息收集、社会工程学攻击、应用系统（含客户端）渗透、基础网络组件渗透、主机操作系统渗透、数据库渗透、网络设备渗透、不同网段间的渗透等手段中的最适合方式进行。整个评估过程，基于渗透测试执行标准（PETS）和信息系统安全评估标准（ISSAF），并确保提供一个完整、全面的网络层、应用层渗透测试等方式中最适用的方式进行，最终在每次攻防演练后提供《红、蓝队评估服务工作方案》《红、蓝队评估测试报告》《红、蓝队工作日报》《红蓝对抗总结报告》，并且每年不少于2次，每次不少于50人天，每年不少于100人天。</t>
  </si>
  <si>
    <t>年</t>
  </si>
  <si>
    <t>高级应急响应服务</t>
  </si>
  <si>
    <t>当安全事件发生时，安全团队分析判断事件因果、降低损失、提供有效的问题解决建议。根据事件类别，通过远程和现场支持的方式协助对事件进行紧急分析和处理。通过事件分析、原因查找、事件处置、证据保留及事件溯源等方式，快速解决信息安全事件及问题，恢复业务及系统的安全运行，并确保所有事件应急处置过程得到有效控制和记录。在需要司法机关介入时，提供法律认可的数字证据。输出《安全事件应急处置报告》《安全事件加固处置建议》。</t>
  </si>
  <si>
    <t>安全漏洞扫描服务（单系统）</t>
  </si>
  <si>
    <t>按次提供安全漏洞扫描服务（单系统），集主机安全扫描、网站安全扫描、数据安全扫描、弱口令发现和基线配置核查于一体的功能，能够精准评估多维度资产的安全风险，准确发现网络中各主机、设备存在的网络安全漏洞，并给出详细的描述和解决方案，从根本解决网络安全问题；扫描频次：单次扫描服务。</t>
  </si>
  <si>
    <t>安全漏洞扫描服务（不限资产）</t>
  </si>
  <si>
    <t>全云全域范围按年提供安全漏洞扫描服务（每季度一次扫描，共4次扫描），包括以下功能：1、主机扫描：用于分析和指出有关网络的安全漏洞及被测系统的薄弱环节，给出详细的检测报告，并针对检测到的网络安全隐患给出相应的修补措施和安全建议；
2、网站扫描：可以帮助用户充分了解Web应用存在的安全隐患，建立安全可靠的Web应用服务，改善并提升应用系统抗各类Web应用攻击的能力；
3、数据库扫描：帮助用户充分了解数据库存在的安全隐患，通过定期数据库系统安全自我检测与评估，提升用户各类数据库的抗风险能力；
4、基线核查：全面覆盖操作系统、数据库、中间件、防火墙、路由器、交换机等设备类型，出具修复加固建议报告。</t>
  </si>
  <si>
    <t>项/年</t>
  </si>
  <si>
    <t>暴露面检查服务-针对整体</t>
  </si>
  <si>
    <t>信息安全风险评估</t>
  </si>
  <si>
    <t>信息安全风险评估服务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</si>
</sst>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yyyy/m/d;@"/>
    <numFmt numFmtId="178" formatCode="0_);[Red]\(0\)"/>
    <numFmt numFmtId="179" formatCode="0.00_ "/>
    <numFmt numFmtId="180" formatCode="[$-409]yyyy\-mm\-dd;@"/>
    <numFmt numFmtId="181" formatCode="&quot;￥&quot;#,##0.00_);[Red]\(&quot;￥&quot;#,##0.00\)"/>
  </numFmts>
  <fonts count="44">
    <font>
      <sz val="12"/>
      <color theme="1"/>
      <name val="等线"/>
      <charset val="134"/>
      <scheme val="minor"/>
    </font>
    <font>
      <sz val="12"/>
      <color rgb="FF000000"/>
      <name val="微软雅黑"/>
      <charset val="134"/>
    </font>
    <font>
      <b/>
      <sz val="16"/>
      <color rgb="FFED7D31"/>
      <name val="微软雅黑"/>
      <charset val="134"/>
    </font>
    <font>
      <b/>
      <sz val="11"/>
      <color rgb="FFFFFFFF"/>
      <name val="微软雅黑"/>
      <charset val="134"/>
    </font>
    <font>
      <sz val="11"/>
      <color rgb="FF000000"/>
      <name val="微软雅黑"/>
      <charset val="134"/>
    </font>
    <font>
      <sz val="12"/>
      <color rgb="FF000000"/>
      <name val="等线"/>
      <charset val="134"/>
    </font>
    <font>
      <sz val="11"/>
      <color rgb="FF000000"/>
      <name val="宋体"/>
      <charset val="134"/>
    </font>
    <font>
      <sz val="12"/>
      <color theme="1"/>
      <name val="微软雅黑"/>
      <charset val="134"/>
    </font>
    <font>
      <b/>
      <sz val="11"/>
      <name val="微软雅黑"/>
      <charset val="134"/>
    </font>
    <font>
      <b/>
      <sz val="11"/>
      <color rgb="FF000000"/>
      <name val="微软雅黑"/>
      <charset val="134"/>
    </font>
    <font>
      <sz val="11"/>
      <color indexed="8"/>
      <name val="微软雅黑"/>
      <charset val="134"/>
    </font>
    <font>
      <sz val="12"/>
      <name val="微软雅黑"/>
      <charset val="134"/>
    </font>
    <font>
      <sz val="11"/>
      <color rgb="FF000000"/>
      <name val="等线"/>
      <charset val="134"/>
    </font>
    <font>
      <b/>
      <sz val="16"/>
      <color rgb="FFED7D31"/>
      <name val="Microsoft YaHei"/>
      <charset val="134"/>
    </font>
    <font>
      <sz val="10"/>
      <color rgb="FF000000"/>
      <name val="微软雅黑"/>
      <charset val="134"/>
    </font>
    <font>
      <u/>
      <sz val="11"/>
      <color rgb="FF0563C1"/>
      <name val="微软雅黑"/>
      <charset val="134"/>
    </font>
    <font>
      <b/>
      <sz val="11"/>
      <color rgb="FFED7D31"/>
      <name val="微软雅黑"/>
      <charset val="134"/>
    </font>
    <font>
      <sz val="10"/>
      <name val="微软雅黑"/>
      <charset val="134"/>
    </font>
    <font>
      <u/>
      <sz val="11"/>
      <color theme="10"/>
      <name val="微软雅黑"/>
      <charset val="134"/>
    </font>
    <font>
      <u/>
      <sz val="10"/>
      <color theme="10"/>
      <name val="微软雅黑"/>
      <charset val="134"/>
    </font>
    <font>
      <sz val="10"/>
      <color rgb="FF000000"/>
      <name val="等线"/>
      <charset val="134"/>
    </font>
    <font>
      <sz val="10"/>
      <name val="等线"/>
      <charset val="134"/>
      <scheme val="minor"/>
    </font>
    <font>
      <sz val="11"/>
      <color theme="1"/>
      <name val="微软雅黑"/>
      <charset val="134"/>
    </font>
    <font>
      <sz val="22"/>
      <color rgb="FF000000"/>
      <name val="微软雅黑"/>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40">
    <fill>
      <patternFill patternType="none"/>
    </fill>
    <fill>
      <patternFill patternType="gray125"/>
    </fill>
    <fill>
      <patternFill patternType="solid">
        <fgColor rgb="FFED7D31"/>
        <bgColor indexed="64"/>
      </patternFill>
    </fill>
    <fill>
      <patternFill patternType="solid">
        <fgColor rgb="FFFF0000"/>
        <bgColor indexed="64"/>
      </patternFill>
    </fill>
    <fill>
      <patternFill patternType="solid">
        <fgColor rgb="FFFFFF00"/>
        <bgColor indexed="64"/>
      </patternFill>
    </fill>
    <fill>
      <patternFill patternType="solid">
        <fgColor rgb="FFFFFFFF"/>
        <bgColor indexed="64"/>
      </patternFill>
    </fill>
    <fill>
      <patternFill patternType="solid">
        <fgColor rgb="FFFE0300"/>
        <bgColor indexed="64"/>
      </patternFill>
    </fill>
    <fill>
      <patternFill patternType="solid">
        <fgColor theme="0"/>
        <bgColor indexed="64"/>
      </patternFill>
    </fill>
    <fill>
      <patternFill patternType="solid">
        <fgColor rgb="FFFDF2E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rgb="FF000000"/>
      </left>
      <right style="thin">
        <color rgb="FF000000"/>
      </right>
      <top/>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right style="thin">
        <color auto="1"/>
      </right>
      <top/>
      <bottom style="thin">
        <color auto="1"/>
      </bottom>
      <diagonal/>
    </border>
    <border>
      <left/>
      <right style="thin">
        <color auto="1"/>
      </right>
      <top style="thin">
        <color auto="1"/>
      </top>
      <bottom/>
      <diagonal/>
    </border>
    <border>
      <left style="thin">
        <color rgb="FF000000"/>
      </left>
      <right style="thin">
        <color auto="1"/>
      </right>
      <top style="thin">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9" borderId="29"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30" applyNumberFormat="0" applyFill="0" applyAlignment="0" applyProtection="0">
      <alignment vertical="center"/>
    </xf>
    <xf numFmtId="0" fontId="31" fillId="0" borderId="30" applyNumberFormat="0" applyFill="0" applyAlignment="0" applyProtection="0">
      <alignment vertical="center"/>
    </xf>
    <xf numFmtId="0" fontId="32" fillId="0" borderId="31" applyNumberFormat="0" applyFill="0" applyAlignment="0" applyProtection="0">
      <alignment vertical="center"/>
    </xf>
    <xf numFmtId="0" fontId="32" fillId="0" borderId="0" applyNumberFormat="0" applyFill="0" applyBorder="0" applyAlignment="0" applyProtection="0">
      <alignment vertical="center"/>
    </xf>
    <xf numFmtId="0" fontId="33" fillId="10" borderId="32" applyNumberFormat="0" applyAlignment="0" applyProtection="0">
      <alignment vertical="center"/>
    </xf>
    <xf numFmtId="0" fontId="34" fillId="11" borderId="33" applyNumberFormat="0" applyAlignment="0" applyProtection="0">
      <alignment vertical="center"/>
    </xf>
    <xf numFmtId="0" fontId="35" fillId="11" borderId="32" applyNumberFormat="0" applyAlignment="0" applyProtection="0">
      <alignment vertical="center"/>
    </xf>
    <xf numFmtId="0" fontId="36" fillId="12" borderId="34" applyNumberFormat="0" applyAlignment="0" applyProtection="0">
      <alignment vertical="center"/>
    </xf>
    <xf numFmtId="0" fontId="37" fillId="0" borderId="35" applyNumberFormat="0" applyFill="0" applyAlignment="0" applyProtection="0">
      <alignment vertical="center"/>
    </xf>
    <xf numFmtId="0" fontId="38" fillId="0" borderId="36" applyNumberFormat="0" applyFill="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1" fillId="15" borderId="0" applyNumberFormat="0" applyBorder="0" applyAlignment="0" applyProtection="0">
      <alignment vertical="center"/>
    </xf>
    <xf numFmtId="0" fontId="42"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43" fillId="37" borderId="0" applyNumberFormat="0" applyBorder="0" applyAlignment="0" applyProtection="0">
      <alignment vertical="center"/>
    </xf>
    <xf numFmtId="0" fontId="43" fillId="38" borderId="0" applyNumberFormat="0" applyBorder="0" applyAlignment="0" applyProtection="0">
      <alignment vertical="center"/>
    </xf>
    <xf numFmtId="0" fontId="42" fillId="39" borderId="0" applyNumberFormat="0" applyBorder="0" applyAlignment="0" applyProtection="0">
      <alignment vertical="center"/>
    </xf>
  </cellStyleXfs>
  <cellXfs count="324">
    <xf numFmtId="0" fontId="0" fillId="0" borderId="0" xfId="0">
      <alignment vertical="center"/>
    </xf>
    <xf numFmtId="0" fontId="1" fillId="0" borderId="0" xfId="0" applyFont="1">
      <alignment vertical="center"/>
    </xf>
    <xf numFmtId="7" fontId="1" fillId="0" borderId="0" xfId="0" applyNumberFormat="1" applyFont="1">
      <alignment vertical="center"/>
    </xf>
    <xf numFmtId="0" fontId="2" fillId="0" borderId="1" xfId="0" applyFont="1" applyBorder="1" applyAlignment="1" applyProtection="1">
      <alignment horizontal="center" vertical="center" wrapText="1"/>
    </xf>
    <xf numFmtId="0" fontId="2" fillId="0" borderId="0" xfId="0" applyFont="1" applyAlignment="1">
      <alignment horizontal="center" vertical="center" wrapText="1"/>
    </xf>
    <xf numFmtId="7" fontId="2" fillId="0" borderId="0" xfId="0" applyNumberFormat="1" applyFont="1" applyAlignment="1">
      <alignment horizontal="center" vertical="center" wrapText="1"/>
    </xf>
    <xf numFmtId="7" fontId="2" fillId="0" borderId="2" xfId="0" applyNumberFormat="1" applyFont="1" applyBorder="1" applyAlignment="1" applyProtection="1">
      <alignment horizontal="center" vertical="center" wrapText="1"/>
    </xf>
    <xf numFmtId="0" fontId="3" fillId="2" borderId="0" xfId="0" applyFont="1" applyFill="1" applyAlignment="1">
      <alignment horizontal="center" vertical="center" wrapText="1"/>
    </xf>
    <xf numFmtId="7" fontId="3" fillId="2" borderId="0" xfId="0" applyNumberFormat="1" applyFont="1" applyFill="1" applyAlignment="1">
      <alignment horizontal="center" vertical="center" wrapText="1"/>
    </xf>
    <xf numFmtId="0" fontId="4" fillId="0" borderId="3" xfId="0" applyFont="1" applyBorder="1" applyAlignment="1" applyProtection="1">
      <alignment vertical="center" wrapText="1"/>
    </xf>
    <xf numFmtId="7" fontId="4" fillId="0" borderId="3" xfId="0" applyNumberFormat="1" applyFont="1" applyBorder="1" applyAlignment="1" applyProtection="1">
      <alignment vertical="center" wrapText="1"/>
    </xf>
    <xf numFmtId="0" fontId="5" fillId="0" borderId="0" xfId="0" applyFont="1">
      <alignment vertical="center"/>
    </xf>
    <xf numFmtId="0" fontId="6" fillId="0" borderId="0" xfId="0" applyFont="1">
      <alignment vertical="center"/>
    </xf>
    <xf numFmtId="0" fontId="3" fillId="2" borderId="3" xfId="0" applyFont="1" applyFill="1" applyBorder="1" applyAlignment="1" applyProtection="1">
      <alignment horizontal="center" vertical="center" wrapText="1"/>
    </xf>
    <xf numFmtId="0" fontId="4" fillId="0" borderId="3" xfId="0" applyFont="1" applyBorder="1" applyAlignment="1" applyProtection="1">
      <alignment horizontal="center" vertical="center" wrapText="1"/>
    </xf>
    <xf numFmtId="14" fontId="4" fillId="0" borderId="3" xfId="0" applyNumberFormat="1" applyFont="1" applyBorder="1" applyAlignment="1" applyProtection="1">
      <alignment horizontal="center" vertical="center" wrapText="1"/>
    </xf>
    <xf numFmtId="176" fontId="4" fillId="0" borderId="3" xfId="0" applyNumberFormat="1" applyFont="1" applyBorder="1" applyAlignment="1" applyProtection="1">
      <alignment horizontal="right" vertical="center" wrapText="1"/>
    </xf>
    <xf numFmtId="7" fontId="4" fillId="0" borderId="3" xfId="0" applyNumberFormat="1" applyFont="1" applyBorder="1" applyAlignment="1" applyProtection="1">
      <alignment horizontal="right" vertical="center" wrapText="1"/>
    </xf>
    <xf numFmtId="0" fontId="4" fillId="0" borderId="3" xfId="0" applyFont="1" applyBorder="1" applyProtection="1">
      <alignment vertical="center"/>
    </xf>
    <xf numFmtId="0" fontId="4" fillId="0" borderId="3" xfId="0" applyFont="1" applyBorder="1" applyAlignment="1" applyProtection="1">
      <alignment horizontal="center" vertical="center"/>
    </xf>
    <xf numFmtId="7" fontId="4" fillId="0" borderId="3" xfId="0" applyNumberFormat="1" applyFont="1" applyBorder="1" applyProtection="1">
      <alignment vertical="center"/>
    </xf>
    <xf numFmtId="0" fontId="4" fillId="0" borderId="0" xfId="0" applyFont="1" applyAlignment="1">
      <alignment horizontal="center" vertical="center"/>
    </xf>
    <xf numFmtId="0" fontId="7" fillId="0" borderId="0" xfId="0" applyFont="1">
      <alignment vertical="center"/>
    </xf>
    <xf numFmtId="0" fontId="2" fillId="0" borderId="4" xfId="0" applyFont="1" applyBorder="1" applyAlignment="1" applyProtection="1">
      <alignment horizontal="center" vertical="center" wrapText="1"/>
    </xf>
    <xf numFmtId="0" fontId="2" fillId="0" borderId="0" xfId="0" applyFont="1" applyAlignment="1" applyProtection="1">
      <alignment horizontal="center" vertical="center" wrapText="1"/>
    </xf>
    <xf numFmtId="0" fontId="3" fillId="2" borderId="5" xfId="0" applyFont="1" applyFill="1" applyBorder="1" applyAlignment="1" applyProtection="1">
      <alignment horizontal="center" vertical="center" wrapText="1"/>
    </xf>
    <xf numFmtId="0" fontId="3" fillId="2" borderId="5" xfId="0" applyFont="1" applyFill="1" applyBorder="1" applyAlignment="1">
      <alignment horizontal="center" vertical="center" wrapText="1"/>
    </xf>
    <xf numFmtId="0" fontId="4" fillId="0" borderId="5" xfId="0" applyFont="1" applyBorder="1" applyAlignment="1" applyProtection="1">
      <alignment horizontal="center" vertical="center" wrapText="1"/>
    </xf>
    <xf numFmtId="7" fontId="4" fillId="0" borderId="5" xfId="0" applyNumberFormat="1" applyFont="1" applyBorder="1" applyAlignment="1" applyProtection="1">
      <alignment horizontal="center" vertical="center" wrapText="1"/>
    </xf>
    <xf numFmtId="0" fontId="4" fillId="0" borderId="5" xfId="0" applyFont="1" applyBorder="1" applyAlignment="1" applyProtection="1">
      <alignment horizontal="center" vertical="center"/>
    </xf>
    <xf numFmtId="14" fontId="1" fillId="0" borderId="5" xfId="0" applyNumberFormat="1" applyFont="1" applyBorder="1" applyAlignment="1" applyProtection="1">
      <alignment horizontal="center" vertical="center"/>
    </xf>
    <xf numFmtId="177" fontId="4" fillId="3" borderId="5" xfId="0" applyNumberFormat="1" applyFont="1" applyFill="1" applyBorder="1" applyAlignment="1" applyProtection="1">
      <alignment horizontal="center" vertical="center"/>
    </xf>
    <xf numFmtId="0" fontId="4" fillId="0" borderId="5" xfId="0" applyFont="1" applyBorder="1" applyAlignment="1">
      <alignment horizontal="center" vertical="center"/>
    </xf>
    <xf numFmtId="7" fontId="4" fillId="0" borderId="5" xfId="0" applyNumberFormat="1" applyFont="1" applyBorder="1" applyAlignment="1" applyProtection="1">
      <alignment horizontal="center" vertical="center"/>
    </xf>
    <xf numFmtId="0" fontId="1" fillId="0" borderId="5" xfId="0" applyFont="1" applyBorder="1">
      <alignment vertical="center"/>
    </xf>
    <xf numFmtId="0" fontId="3" fillId="2" borderId="6" xfId="0" applyFont="1" applyFill="1" applyBorder="1" applyAlignment="1" applyProtection="1">
      <alignment horizontal="center" vertical="center" wrapText="1"/>
    </xf>
    <xf numFmtId="0" fontId="3" fillId="2" borderId="6" xfId="0" applyFont="1" applyFill="1" applyBorder="1" applyAlignment="1">
      <alignment horizontal="center" vertical="center" wrapText="1"/>
    </xf>
    <xf numFmtId="0" fontId="1" fillId="0" borderId="5" xfId="0" applyFont="1" applyBorder="1" applyAlignment="1" applyProtection="1">
      <alignment horizontal="center" vertical="center"/>
    </xf>
    <xf numFmtId="177" fontId="4" fillId="0" borderId="5" xfId="0" applyNumberFormat="1" applyFont="1" applyBorder="1" applyAlignment="1" applyProtection="1">
      <alignment horizontal="center" vertical="center"/>
    </xf>
    <xf numFmtId="14" fontId="4" fillId="0" borderId="5" xfId="0" applyNumberFormat="1" applyFont="1" applyBorder="1" applyAlignment="1" applyProtection="1">
      <alignment horizontal="center" vertical="center"/>
    </xf>
    <xf numFmtId="178" fontId="4" fillId="0" borderId="5" xfId="0" applyNumberFormat="1" applyFont="1" applyBorder="1" applyAlignment="1" applyProtection="1">
      <alignment horizontal="center" vertical="center"/>
    </xf>
    <xf numFmtId="0" fontId="7" fillId="0" borderId="5" xfId="0" applyFont="1" applyBorder="1">
      <alignment vertical="center"/>
    </xf>
    <xf numFmtId="14" fontId="4" fillId="0" borderId="5" xfId="0" applyNumberFormat="1" applyFont="1" applyBorder="1" applyAlignment="1" applyProtection="1">
      <alignment horizontal="center" vertical="center" wrapText="1"/>
    </xf>
    <xf numFmtId="0" fontId="2" fillId="0" borderId="5" xfId="0" applyFont="1" applyBorder="1" applyAlignment="1" applyProtection="1">
      <alignment horizontal="center" vertical="center" wrapText="1"/>
    </xf>
    <xf numFmtId="0" fontId="1" fillId="0" borderId="0" xfId="0" applyFont="1" applyAlignment="1">
      <alignment horizontal="center" vertical="center"/>
    </xf>
    <xf numFmtId="177" fontId="1" fillId="0" borderId="5" xfId="0" applyNumberFormat="1" applyFont="1" applyBorder="1" applyAlignment="1">
      <alignment horizontal="center" vertical="center"/>
    </xf>
    <xf numFmtId="0" fontId="7" fillId="0" borderId="5" xfId="0" applyFont="1" applyBorder="1" applyAlignment="1">
      <alignment horizontal="center" vertical="center"/>
    </xf>
    <xf numFmtId="14" fontId="4" fillId="0" borderId="5" xfId="0" applyNumberFormat="1" applyFont="1" applyFill="1" applyBorder="1" applyAlignment="1" applyProtection="1">
      <alignment horizontal="center" vertical="center" wrapText="1"/>
    </xf>
    <xf numFmtId="0" fontId="3" fillId="2" borderId="7" xfId="0" applyFont="1" applyFill="1" applyBorder="1" applyAlignment="1" applyProtection="1">
      <alignment horizontal="center" vertical="center" wrapText="1"/>
    </xf>
    <xf numFmtId="0" fontId="3" fillId="2" borderId="8" xfId="0" applyFont="1" applyFill="1" applyBorder="1" applyAlignment="1" applyProtection="1">
      <alignment horizontal="center" vertical="center" wrapText="1"/>
    </xf>
    <xf numFmtId="0" fontId="8" fillId="0" borderId="9" xfId="0" applyFont="1" applyFill="1" applyBorder="1" applyAlignment="1" applyProtection="1">
      <alignment horizontal="center" vertical="center" wrapText="1"/>
    </xf>
    <xf numFmtId="0" fontId="8" fillId="0" borderId="10" xfId="0" applyFont="1" applyFill="1" applyBorder="1" applyAlignment="1" applyProtection="1">
      <alignment horizontal="center" vertical="center" wrapText="1"/>
    </xf>
    <xf numFmtId="0" fontId="4" fillId="0" borderId="9" xfId="0" applyFont="1" applyBorder="1" applyAlignment="1" applyProtection="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4" fillId="0" borderId="9" xfId="0" applyFont="1" applyBorder="1" applyAlignment="1">
      <alignment horizontal="center" vertical="center"/>
    </xf>
    <xf numFmtId="0" fontId="9" fillId="0" borderId="5" xfId="0" applyFont="1" applyBorder="1" applyAlignment="1">
      <alignment horizontal="center" vertical="center"/>
    </xf>
    <xf numFmtId="0" fontId="4" fillId="0" borderId="0" xfId="0" applyFont="1" applyFill="1" applyAlignment="1">
      <alignment horizontal="center" vertical="center"/>
    </xf>
    <xf numFmtId="0" fontId="4" fillId="0" borderId="0" xfId="0" applyFont="1">
      <alignment vertical="center"/>
    </xf>
    <xf numFmtId="0" fontId="10" fillId="0" borderId="0" xfId="0" applyFont="1" applyFill="1" applyAlignment="1">
      <alignment horizontal="center" vertical="center"/>
    </xf>
    <xf numFmtId="0" fontId="7" fillId="0" borderId="0" xfId="0" applyFont="1" applyFill="1" applyAlignment="1">
      <alignment vertical="center"/>
    </xf>
    <xf numFmtId="0" fontId="2" fillId="0" borderId="3" xfId="0" applyFont="1" applyBorder="1" applyAlignment="1" applyProtection="1">
      <alignment horizontal="center" vertical="center" wrapText="1"/>
    </xf>
    <xf numFmtId="0" fontId="3" fillId="2" borderId="11" xfId="0" applyFont="1" applyFill="1" applyBorder="1" applyAlignment="1" applyProtection="1">
      <alignment horizontal="center" vertical="center" wrapText="1"/>
    </xf>
    <xf numFmtId="7" fontId="4" fillId="0" borderId="3" xfId="0" applyNumberFormat="1" applyFont="1" applyBorder="1" applyAlignment="1" applyProtection="1">
      <alignment horizontal="center" vertical="center" wrapText="1"/>
    </xf>
    <xf numFmtId="14" fontId="1" fillId="0" borderId="3" xfId="0" applyNumberFormat="1" applyFont="1" applyBorder="1" applyAlignment="1" applyProtection="1">
      <alignment horizontal="center" vertical="center"/>
    </xf>
    <xf numFmtId="177" fontId="4" fillId="3" borderId="3" xfId="0" applyNumberFormat="1" applyFont="1" applyFill="1" applyBorder="1" applyAlignment="1" applyProtection="1">
      <alignment horizontal="center" vertical="center"/>
    </xf>
    <xf numFmtId="14" fontId="1" fillId="0" borderId="5" xfId="0" applyNumberFormat="1" applyFont="1" applyFill="1" applyBorder="1" applyAlignment="1" applyProtection="1">
      <alignment horizontal="center" vertical="center"/>
    </xf>
    <xf numFmtId="7" fontId="4" fillId="0" borderId="3" xfId="0" applyNumberFormat="1" applyFont="1" applyBorder="1" applyAlignment="1" applyProtection="1">
      <alignment horizontal="center" vertical="center"/>
    </xf>
    <xf numFmtId="0" fontId="3" fillId="2" borderId="12" xfId="0" applyFont="1" applyFill="1" applyBorder="1" applyAlignment="1" applyProtection="1">
      <alignment horizontal="center" vertical="center" wrapText="1"/>
    </xf>
    <xf numFmtId="0" fontId="3" fillId="2" borderId="13" xfId="0" applyFont="1" applyFill="1" applyBorder="1" applyAlignment="1" applyProtection="1">
      <alignment horizontal="center" vertical="center" wrapText="1"/>
    </xf>
    <xf numFmtId="0" fontId="3" fillId="2" borderId="14" xfId="0" applyFont="1" applyFill="1" applyBorder="1" applyAlignment="1" applyProtection="1">
      <alignment horizontal="center" vertical="center" wrapText="1"/>
    </xf>
    <xf numFmtId="0" fontId="3" fillId="2" borderId="13" xfId="0" applyFont="1" applyFill="1" applyBorder="1" applyAlignment="1">
      <alignment horizontal="center" vertical="center" wrapText="1"/>
    </xf>
    <xf numFmtId="0" fontId="4" fillId="0" borderId="5" xfId="0" applyFont="1" applyFill="1" applyBorder="1" applyAlignment="1" applyProtection="1">
      <alignment horizontal="center" vertical="center" wrapText="1"/>
    </xf>
    <xf numFmtId="0" fontId="4" fillId="0" borderId="5" xfId="0" applyFont="1" applyFill="1" applyBorder="1" applyAlignment="1" applyProtection="1">
      <alignment horizontal="center" vertical="center"/>
    </xf>
    <xf numFmtId="7" fontId="4" fillId="0" borderId="5" xfId="0" applyNumberFormat="1" applyFont="1" applyFill="1" applyBorder="1" applyAlignment="1" applyProtection="1">
      <alignment horizontal="center" vertical="center" wrapText="1"/>
    </xf>
    <xf numFmtId="0" fontId="1" fillId="0" borderId="5" xfId="0" applyFont="1" applyFill="1" applyBorder="1" applyAlignment="1" applyProtection="1">
      <alignment horizontal="center" vertical="center"/>
    </xf>
    <xf numFmtId="14" fontId="11" fillId="3" borderId="5" xfId="0" applyNumberFormat="1" applyFont="1" applyFill="1" applyBorder="1" applyAlignment="1">
      <alignment horizontal="center" vertical="center" wrapText="1"/>
    </xf>
    <xf numFmtId="14" fontId="11" fillId="0" borderId="5" xfId="0" applyNumberFormat="1" applyFont="1" applyFill="1" applyBorder="1" applyAlignment="1">
      <alignment horizontal="center" vertical="center" wrapText="1"/>
    </xf>
    <xf numFmtId="178" fontId="4" fillId="0" borderId="5" xfId="0" applyNumberFormat="1" applyFont="1" applyFill="1" applyBorder="1" applyAlignment="1" applyProtection="1">
      <alignment horizontal="center" vertical="center"/>
    </xf>
    <xf numFmtId="7" fontId="4" fillId="0" borderId="5" xfId="0" applyNumberFormat="1" applyFont="1" applyFill="1" applyBorder="1" applyAlignment="1" applyProtection="1">
      <alignment horizontal="center" vertical="center"/>
    </xf>
    <xf numFmtId="0" fontId="1" fillId="0" borderId="0" xfId="0" applyFont="1" applyFill="1" applyAlignment="1">
      <alignment horizontal="center" vertical="center"/>
    </xf>
    <xf numFmtId="0" fontId="4" fillId="0" borderId="4" xfId="0" applyFont="1" applyBorder="1" applyAlignment="1" applyProtection="1">
      <alignment horizontal="center" vertical="center"/>
    </xf>
    <xf numFmtId="0" fontId="4" fillId="0" borderId="0" xfId="0" applyFont="1" applyAlignment="1" applyProtection="1">
      <alignment horizontal="center" vertical="center"/>
    </xf>
    <xf numFmtId="0" fontId="2" fillId="0" borderId="11" xfId="0" applyFont="1" applyBorder="1" applyAlignment="1" applyProtection="1">
      <alignment horizontal="center" vertical="center" wrapText="1"/>
    </xf>
    <xf numFmtId="177" fontId="1" fillId="0" borderId="5" xfId="0" applyNumberFormat="1" applyFont="1" applyFill="1" applyBorder="1" applyAlignment="1">
      <alignment horizontal="center" vertical="center"/>
    </xf>
    <xf numFmtId="0" fontId="1" fillId="0" borderId="5" xfId="0" applyFont="1" applyFill="1" applyBorder="1" applyAlignment="1" applyProtection="1">
      <alignment vertical="center"/>
    </xf>
    <xf numFmtId="0" fontId="2" fillId="0" borderId="5" xfId="0" applyFont="1" applyFill="1" applyBorder="1" applyAlignment="1">
      <alignment horizontal="center" vertical="center" wrapText="1"/>
    </xf>
    <xf numFmtId="0" fontId="4" fillId="4" borderId="5" xfId="0" applyFont="1" applyFill="1" applyBorder="1" applyAlignment="1">
      <alignment horizontal="center" vertical="center" wrapText="1"/>
    </xf>
    <xf numFmtId="7" fontId="4" fillId="4" borderId="5" xfId="0" applyNumberFormat="1" applyFont="1" applyFill="1" applyBorder="1" applyAlignment="1">
      <alignment horizontal="center" vertical="center" wrapText="1"/>
    </xf>
    <xf numFmtId="14" fontId="11" fillId="4" borderId="5" xfId="0" applyNumberFormat="1" applyFont="1" applyFill="1" applyBorder="1" applyAlignment="1">
      <alignment horizontal="center" vertical="center" wrapText="1"/>
    </xf>
    <xf numFmtId="0" fontId="11" fillId="4" borderId="5" xfId="0" applyNumberFormat="1" applyFont="1" applyFill="1" applyBorder="1" applyAlignment="1">
      <alignment horizontal="center" vertical="center" wrapText="1"/>
    </xf>
    <xf numFmtId="179" fontId="11" fillId="4" borderId="5" xfId="0" applyNumberFormat="1" applyFont="1" applyFill="1" applyBorder="1" applyAlignment="1">
      <alignment horizontal="center" vertical="center" wrapText="1"/>
    </xf>
    <xf numFmtId="0" fontId="7" fillId="4" borderId="5" xfId="0" applyFont="1" applyFill="1" applyBorder="1" applyAlignment="1">
      <alignment horizontal="center" vertical="center" wrapText="1"/>
    </xf>
    <xf numFmtId="0" fontId="4" fillId="4" borderId="13" xfId="0" applyFont="1" applyFill="1" applyBorder="1" applyAlignment="1">
      <alignment horizontal="center" vertical="center" wrapText="1"/>
    </xf>
    <xf numFmtId="7" fontId="4" fillId="4" borderId="13" xfId="0" applyNumberFormat="1" applyFont="1" applyFill="1" applyBorder="1" applyAlignment="1">
      <alignment horizontal="center" vertical="center" wrapText="1"/>
    </xf>
    <xf numFmtId="0" fontId="7" fillId="4" borderId="13" xfId="0" applyFont="1" applyFill="1" applyBorder="1" applyAlignment="1">
      <alignment horizontal="center" vertical="center" wrapText="1"/>
    </xf>
    <xf numFmtId="14" fontId="11" fillId="4" borderId="13" xfId="0" applyNumberFormat="1" applyFont="1" applyFill="1" applyBorder="1" applyAlignment="1">
      <alignment horizontal="center" vertical="center" wrapText="1"/>
    </xf>
    <xf numFmtId="0" fontId="12" fillId="0" borderId="0" xfId="0" applyFont="1" applyAlignment="1">
      <alignment horizontal="center" vertical="center"/>
    </xf>
    <xf numFmtId="0" fontId="12" fillId="0" borderId="0" xfId="0" applyFont="1">
      <alignment vertical="center"/>
    </xf>
    <xf numFmtId="0" fontId="13" fillId="0" borderId="4" xfId="0" applyFont="1" applyBorder="1" applyAlignment="1" applyProtection="1">
      <alignment horizontal="center" vertical="center" wrapText="1"/>
    </xf>
    <xf numFmtId="0" fontId="13" fillId="0" borderId="0" xfId="0" applyFont="1" applyAlignment="1" applyProtection="1">
      <alignment horizontal="center" vertical="center" wrapText="1"/>
    </xf>
    <xf numFmtId="0" fontId="5" fillId="0" borderId="0" xfId="0" applyFont="1" applyAlignment="1">
      <alignment horizontal="center" vertical="center"/>
    </xf>
    <xf numFmtId="0" fontId="3" fillId="2" borderId="15" xfId="0" applyFont="1" applyFill="1" applyBorder="1" applyAlignment="1">
      <alignment horizontal="center" vertical="center" wrapText="1"/>
    </xf>
    <xf numFmtId="177" fontId="1" fillId="0" borderId="3" xfId="0" applyNumberFormat="1" applyFont="1" applyBorder="1" applyAlignment="1" applyProtection="1">
      <alignment horizontal="center" vertical="center" wrapText="1"/>
    </xf>
    <xf numFmtId="14" fontId="5" fillId="0" borderId="3" xfId="0" applyNumberFormat="1" applyFont="1" applyBorder="1" applyAlignment="1" applyProtection="1">
      <alignment horizontal="center" vertical="center"/>
    </xf>
    <xf numFmtId="0" fontId="5" fillId="0" borderId="0" xfId="0" applyFont="1" applyAlignment="1">
      <alignment horizontal="center" vertical="center" wrapText="1"/>
    </xf>
    <xf numFmtId="0" fontId="1" fillId="0" borderId="3" xfId="0" applyFont="1" applyBorder="1" applyAlignment="1" applyProtection="1">
      <alignment horizontal="center" vertical="center" wrapText="1"/>
    </xf>
    <xf numFmtId="178" fontId="4" fillId="0" borderId="3" xfId="0" applyNumberFormat="1" applyFont="1" applyBorder="1" applyAlignment="1" applyProtection="1">
      <alignment horizontal="center" vertical="center"/>
    </xf>
    <xf numFmtId="0" fontId="8" fillId="0" borderId="5" xfId="0" applyFont="1" applyFill="1" applyBorder="1" applyAlignment="1" applyProtection="1">
      <alignment horizontal="center" vertical="center" wrapText="1"/>
    </xf>
    <xf numFmtId="0" fontId="6" fillId="0" borderId="0" xfId="0" applyFont="1" applyAlignment="1">
      <alignment horizontal="center" vertical="center"/>
    </xf>
    <xf numFmtId="0" fontId="13" fillId="0" borderId="3" xfId="0" applyFont="1" applyBorder="1" applyAlignment="1" applyProtection="1">
      <alignment horizontal="center" vertical="center" wrapText="1"/>
    </xf>
    <xf numFmtId="0" fontId="3" fillId="2" borderId="7" xfId="0" applyFont="1" applyFill="1" applyBorder="1" applyAlignment="1">
      <alignment horizontal="center" vertical="center" wrapText="1"/>
    </xf>
    <xf numFmtId="0" fontId="5" fillId="0" borderId="3" xfId="0" applyFont="1" applyBorder="1" applyAlignment="1" applyProtection="1">
      <alignment horizontal="center" vertical="center"/>
    </xf>
    <xf numFmtId="177" fontId="1" fillId="0" borderId="3" xfId="0" applyNumberFormat="1" applyFont="1" applyBorder="1" applyAlignment="1" applyProtection="1">
      <alignment horizontal="center" vertical="center"/>
    </xf>
    <xf numFmtId="0" fontId="4" fillId="0" borderId="0" xfId="0" applyFont="1" applyAlignment="1">
      <alignment horizontal="center"/>
    </xf>
    <xf numFmtId="0" fontId="1" fillId="0" borderId="0" xfId="0" applyFont="1" applyAlignment="1">
      <alignment horizontal="center"/>
    </xf>
    <xf numFmtId="0" fontId="7" fillId="0" borderId="0" xfId="0" applyFont="1" applyAlignment="1">
      <alignment horizontal="center"/>
    </xf>
    <xf numFmtId="0" fontId="2" fillId="0" borderId="3" xfId="0" applyFont="1" applyBorder="1" applyAlignment="1" applyProtection="1">
      <alignment horizontal="center" wrapText="1"/>
    </xf>
    <xf numFmtId="0" fontId="3" fillId="2" borderId="3" xfId="0" applyFont="1" applyFill="1" applyBorder="1" applyAlignment="1" applyProtection="1">
      <alignment horizontal="center" wrapText="1"/>
    </xf>
    <xf numFmtId="0" fontId="3" fillId="2" borderId="5" xfId="0" applyFont="1" applyFill="1" applyBorder="1" applyAlignment="1" applyProtection="1">
      <alignment horizontal="center" wrapText="1"/>
    </xf>
    <xf numFmtId="0" fontId="3" fillId="2" borderId="11" xfId="0" applyFont="1" applyFill="1" applyBorder="1" applyAlignment="1" applyProtection="1">
      <alignment horizontal="center" wrapText="1"/>
    </xf>
    <xf numFmtId="0" fontId="3" fillId="2" borderId="6" xfId="0" applyFont="1" applyFill="1" applyBorder="1" applyAlignment="1">
      <alignment horizontal="center" wrapText="1"/>
    </xf>
    <xf numFmtId="0" fontId="4" fillId="0" borderId="3" xfId="0" applyFont="1" applyBorder="1" applyAlignment="1" applyProtection="1">
      <alignment horizontal="center" wrapText="1"/>
    </xf>
    <xf numFmtId="0" fontId="4" fillId="0" borderId="3" xfId="0" applyFont="1" applyBorder="1" applyAlignment="1" applyProtection="1">
      <alignment horizontal="center"/>
    </xf>
    <xf numFmtId="14" fontId="1" fillId="0" borderId="3" xfId="0" applyNumberFormat="1" applyFont="1" applyBorder="1" applyAlignment="1" applyProtection="1">
      <alignment horizontal="center"/>
    </xf>
    <xf numFmtId="177" fontId="4" fillId="0" borderId="3" xfId="0" applyNumberFormat="1" applyFont="1" applyBorder="1" applyAlignment="1" applyProtection="1">
      <alignment horizontal="center"/>
    </xf>
    <xf numFmtId="0" fontId="4" fillId="0" borderId="5" xfId="0" applyFont="1" applyBorder="1" applyAlignment="1" applyProtection="1">
      <alignment horizontal="center"/>
    </xf>
    <xf numFmtId="178" fontId="4" fillId="0" borderId="3" xfId="0" applyNumberFormat="1" applyFont="1" applyBorder="1" applyAlignment="1" applyProtection="1">
      <alignment horizontal="center"/>
    </xf>
    <xf numFmtId="7" fontId="4" fillId="0" borderId="5" xfId="0" applyNumberFormat="1" applyFont="1" applyBorder="1" applyAlignment="1" applyProtection="1">
      <alignment horizontal="center"/>
    </xf>
    <xf numFmtId="0" fontId="1" fillId="0" borderId="5" xfId="0" applyFont="1" applyBorder="1" applyAlignment="1">
      <alignment horizontal="center"/>
    </xf>
    <xf numFmtId="57" fontId="4" fillId="0" borderId="3" xfId="0" applyNumberFormat="1" applyFont="1" applyBorder="1" applyAlignment="1" applyProtection="1">
      <alignment horizontal="center"/>
    </xf>
    <xf numFmtId="0" fontId="2" fillId="0" borderId="4" xfId="0" applyFont="1" applyBorder="1" applyAlignment="1" applyProtection="1">
      <alignment horizontal="center" wrapText="1"/>
    </xf>
    <xf numFmtId="0" fontId="2" fillId="0" borderId="0" xfId="0" applyFont="1" applyAlignment="1">
      <alignment horizontal="center" wrapText="1"/>
    </xf>
    <xf numFmtId="0" fontId="14" fillId="0" borderId="3" xfId="0" applyFont="1" applyBorder="1" applyAlignment="1" applyProtection="1">
      <alignment horizontal="center"/>
    </xf>
    <xf numFmtId="7" fontId="4" fillId="0" borderId="3" xfId="0" applyNumberFormat="1" applyFont="1" applyBorder="1" applyAlignment="1" applyProtection="1">
      <alignment horizontal="center" wrapText="1"/>
    </xf>
    <xf numFmtId="0" fontId="14" fillId="0" borderId="3" xfId="0" applyFont="1" applyBorder="1" applyAlignment="1" applyProtection="1">
      <alignment horizontal="center" wrapText="1"/>
    </xf>
    <xf numFmtId="7" fontId="4" fillId="0" borderId="3" xfId="0" applyNumberFormat="1" applyFont="1" applyBorder="1" applyAlignment="1" applyProtection="1">
      <alignment horizontal="center"/>
    </xf>
    <xf numFmtId="0" fontId="1" fillId="0" borderId="3" xfId="0" applyFont="1" applyBorder="1" applyAlignment="1" applyProtection="1">
      <alignment horizontal="center"/>
    </xf>
    <xf numFmtId="0" fontId="3" fillId="2" borderId="7" xfId="0" applyFont="1" applyFill="1" applyBorder="1" applyAlignment="1" applyProtection="1">
      <alignment horizontal="center" wrapText="1"/>
    </xf>
    <xf numFmtId="0" fontId="4" fillId="0" borderId="5" xfId="0" applyFont="1" applyBorder="1" applyAlignment="1" applyProtection="1">
      <alignment horizontal="center" wrapText="1"/>
    </xf>
    <xf numFmtId="0" fontId="4" fillId="0" borderId="5"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4" fillId="0" borderId="16" xfId="0" applyFont="1" applyBorder="1" applyAlignment="1">
      <alignment horizontal="center"/>
    </xf>
    <xf numFmtId="0" fontId="9" fillId="0" borderId="5" xfId="0" applyFont="1" applyBorder="1" applyAlignment="1">
      <alignment horizontal="center"/>
    </xf>
    <xf numFmtId="0" fontId="7" fillId="0" borderId="0" xfId="0" applyFont="1" applyAlignment="1">
      <alignment horizontal="center" vertical="center"/>
    </xf>
    <xf numFmtId="0" fontId="1" fillId="0" borderId="0" xfId="0" applyFont="1" applyAlignment="1">
      <alignment horizontal="center" vertical="center" wrapText="1"/>
    </xf>
    <xf numFmtId="0" fontId="1" fillId="0" borderId="5" xfId="0" applyFont="1" applyBorder="1" applyAlignment="1">
      <alignment horizontal="center" vertical="center"/>
    </xf>
    <xf numFmtId="0" fontId="1" fillId="0" borderId="3" xfId="0" applyFont="1" applyBorder="1" applyAlignment="1" applyProtection="1">
      <alignment horizontal="center" vertical="center"/>
    </xf>
    <xf numFmtId="0" fontId="4" fillId="0" borderId="13" xfId="0" applyFont="1" applyBorder="1" applyAlignment="1" applyProtection="1">
      <alignment horizontal="center" vertical="center"/>
    </xf>
    <xf numFmtId="7" fontId="4" fillId="0" borderId="13" xfId="0" applyNumberFormat="1" applyFont="1" applyBorder="1" applyAlignment="1" applyProtection="1">
      <alignment horizontal="center" vertical="center"/>
    </xf>
    <xf numFmtId="0" fontId="1" fillId="0" borderId="13" xfId="0" applyFont="1" applyBorder="1" applyAlignment="1">
      <alignment horizontal="center" vertical="center"/>
    </xf>
    <xf numFmtId="0" fontId="4" fillId="0" borderId="17" xfId="0" applyFont="1" applyBorder="1" applyAlignment="1" applyProtection="1">
      <alignment horizontal="center" vertical="center"/>
    </xf>
    <xf numFmtId="0" fontId="15" fillId="5" borderId="5" xfId="0" applyFont="1" applyFill="1" applyBorder="1" applyAlignment="1" applyProtection="1">
      <alignment horizontal="center" vertical="center"/>
    </xf>
    <xf numFmtId="0" fontId="4" fillId="0" borderId="10" xfId="0" applyFont="1" applyBorder="1" applyAlignment="1">
      <alignment horizontal="center" vertical="center"/>
    </xf>
    <xf numFmtId="0" fontId="4" fillId="0" borderId="16" xfId="0" applyFont="1" applyBorder="1" applyAlignment="1">
      <alignment horizontal="center" vertical="center"/>
    </xf>
    <xf numFmtId="0" fontId="4" fillId="0" borderId="3" xfId="0" applyFont="1" applyFill="1" applyBorder="1" applyAlignment="1" applyProtection="1">
      <alignment horizontal="center" vertical="center" wrapText="1"/>
    </xf>
    <xf numFmtId="14" fontId="4" fillId="0" borderId="3" xfId="0" applyNumberFormat="1" applyFont="1" applyBorder="1" applyAlignment="1" applyProtection="1">
      <alignment horizontal="center" vertical="center"/>
    </xf>
    <xf numFmtId="14" fontId="1" fillId="3" borderId="3" xfId="0" applyNumberFormat="1" applyFont="1" applyFill="1" applyBorder="1" applyAlignment="1" applyProtection="1">
      <alignment horizontal="center" vertical="center"/>
    </xf>
    <xf numFmtId="177" fontId="4" fillId="0" borderId="3" xfId="0" applyNumberFormat="1" applyFont="1" applyBorder="1" applyAlignment="1" applyProtection="1">
      <alignment horizontal="center" vertical="center"/>
    </xf>
    <xf numFmtId="0" fontId="16" fillId="0" borderId="4" xfId="0" applyFont="1" applyBorder="1" applyAlignment="1" applyProtection="1">
      <alignment horizontal="center" vertical="center" wrapText="1"/>
    </xf>
    <xf numFmtId="0" fontId="16" fillId="0" borderId="0" xfId="0" applyFont="1" applyAlignment="1" applyProtection="1">
      <alignment horizontal="center" vertical="center" wrapText="1"/>
    </xf>
    <xf numFmtId="0" fontId="3" fillId="2" borderId="17" xfId="0" applyFont="1" applyFill="1" applyBorder="1" applyAlignment="1" applyProtection="1">
      <alignment horizontal="center" vertical="center" wrapText="1"/>
    </xf>
    <xf numFmtId="0" fontId="3" fillId="2" borderId="0" xfId="0" applyFont="1" applyFill="1" applyAlignment="1" applyProtection="1">
      <alignment horizontal="center" vertical="center" wrapText="1"/>
    </xf>
    <xf numFmtId="0" fontId="17" fillId="0" borderId="0" xfId="0" applyFont="1" applyFill="1">
      <alignment vertical="center"/>
    </xf>
    <xf numFmtId="0" fontId="7" fillId="0" borderId="0" xfId="0" applyFont="1" applyFill="1">
      <alignment vertical="center"/>
    </xf>
    <xf numFmtId="0" fontId="14" fillId="0" borderId="0" xfId="0" applyFont="1" applyFill="1">
      <alignment vertical="center"/>
    </xf>
    <xf numFmtId="0" fontId="7" fillId="0" borderId="0" xfId="0" applyFont="1" applyAlignment="1">
      <alignment vertical="center"/>
    </xf>
    <xf numFmtId="0" fontId="2" fillId="0" borderId="5" xfId="0" applyFont="1" applyBorder="1" applyAlignment="1">
      <alignment horizontal="center" vertical="center" wrapText="1"/>
    </xf>
    <xf numFmtId="180" fontId="4" fillId="0" borderId="5" xfId="0" applyNumberFormat="1" applyFont="1" applyBorder="1" applyAlignment="1" applyProtection="1">
      <alignment horizontal="center" vertical="center"/>
    </xf>
    <xf numFmtId="14" fontId="4" fillId="0" borderId="5" xfId="0" applyNumberFormat="1" applyFont="1" applyFill="1" applyBorder="1" applyAlignment="1" applyProtection="1">
      <alignment horizontal="center" vertical="center"/>
    </xf>
    <xf numFmtId="177" fontId="4" fillId="0" borderId="5" xfId="0" applyNumberFormat="1" applyFont="1" applyFill="1" applyBorder="1" applyAlignment="1" applyProtection="1">
      <alignment horizontal="center" vertical="center"/>
    </xf>
    <xf numFmtId="180" fontId="4" fillId="0" borderId="5" xfId="0" applyNumberFormat="1" applyFont="1" applyFill="1" applyBorder="1" applyAlignment="1" applyProtection="1">
      <alignment horizontal="center" vertical="center"/>
    </xf>
    <xf numFmtId="0" fontId="18" fillId="0" borderId="5" xfId="0" applyFont="1" applyFill="1" applyBorder="1" applyAlignment="1" applyProtection="1">
      <alignment horizontal="center" vertical="center"/>
    </xf>
    <xf numFmtId="0" fontId="18" fillId="0" borderId="5" xfId="0" applyFont="1" applyBorder="1" applyAlignment="1" applyProtection="1">
      <alignment horizontal="center" vertical="center"/>
    </xf>
    <xf numFmtId="0" fontId="14" fillId="0" borderId="5" xfId="0" applyFont="1" applyBorder="1" applyProtection="1">
      <alignment vertical="center"/>
    </xf>
    <xf numFmtId="0" fontId="15" fillId="0" borderId="5" xfId="0" applyFont="1" applyBorder="1" applyAlignment="1" applyProtection="1">
      <alignment horizontal="center" vertical="center"/>
    </xf>
    <xf numFmtId="180" fontId="4" fillId="0" borderId="13" xfId="0" applyNumberFormat="1" applyFont="1" applyBorder="1" applyAlignment="1" applyProtection="1">
      <alignment horizontal="center" vertical="center"/>
    </xf>
    <xf numFmtId="177" fontId="4" fillId="0" borderId="13" xfId="0" applyNumberFormat="1" applyFont="1" applyBorder="1" applyAlignment="1" applyProtection="1">
      <alignment horizontal="center" vertical="center"/>
    </xf>
    <xf numFmtId="0" fontId="1" fillId="0" borderId="13" xfId="0" applyFont="1" applyBorder="1" applyAlignment="1" applyProtection="1">
      <alignment horizontal="center" vertical="center"/>
    </xf>
    <xf numFmtId="180" fontId="4" fillId="0" borderId="15" xfId="0" applyNumberFormat="1" applyFont="1" applyBorder="1" applyAlignment="1" applyProtection="1">
      <alignment horizontal="center" vertical="center"/>
    </xf>
    <xf numFmtId="177" fontId="4" fillId="0" borderId="15" xfId="0" applyNumberFormat="1" applyFont="1" applyBorder="1" applyAlignment="1" applyProtection="1">
      <alignment horizontal="center" vertical="center"/>
    </xf>
    <xf numFmtId="0" fontId="1" fillId="0" borderId="15" xfId="0" applyFont="1" applyBorder="1" applyAlignment="1" applyProtection="1">
      <alignment horizontal="center" vertical="center"/>
    </xf>
    <xf numFmtId="180" fontId="4" fillId="0" borderId="6" xfId="0" applyNumberFormat="1" applyFont="1" applyBorder="1" applyAlignment="1" applyProtection="1">
      <alignment horizontal="center" vertical="center"/>
    </xf>
    <xf numFmtId="177" fontId="4" fillId="0" borderId="6" xfId="0" applyNumberFormat="1" applyFont="1" applyBorder="1" applyAlignment="1" applyProtection="1">
      <alignment horizontal="center" vertical="center"/>
    </xf>
    <xf numFmtId="0" fontId="1" fillId="0" borderId="6" xfId="0" applyFont="1" applyBorder="1" applyAlignment="1" applyProtection="1">
      <alignment horizontal="center" vertical="center"/>
    </xf>
    <xf numFmtId="0" fontId="14" fillId="0" borderId="5" xfId="0" applyFont="1" applyBorder="1">
      <alignment vertical="center"/>
    </xf>
    <xf numFmtId="0" fontId="14" fillId="0" borderId="13" xfId="0" applyFont="1" applyBorder="1">
      <alignment vertical="center"/>
    </xf>
    <xf numFmtId="0" fontId="4" fillId="0" borderId="13" xfId="0" applyFont="1" applyBorder="1" applyAlignment="1" applyProtection="1">
      <alignment horizontal="center" vertical="center" wrapText="1"/>
    </xf>
    <xf numFmtId="0" fontId="18" fillId="0" borderId="13" xfId="0" applyFont="1" applyBorder="1" applyAlignment="1" applyProtection="1">
      <alignment horizontal="center" vertical="center"/>
    </xf>
    <xf numFmtId="14" fontId="4" fillId="0" borderId="13" xfId="0" applyNumberFormat="1" applyFont="1" applyBorder="1" applyAlignment="1" applyProtection="1">
      <alignment horizontal="center" vertical="center"/>
    </xf>
    <xf numFmtId="14" fontId="1" fillId="0" borderId="13" xfId="0" applyNumberFormat="1" applyFont="1" applyBorder="1" applyAlignment="1" applyProtection="1">
      <alignment horizontal="center" vertical="center"/>
    </xf>
    <xf numFmtId="0" fontId="17" fillId="0" borderId="5" xfId="0" applyFont="1" applyFill="1" applyBorder="1">
      <alignment vertical="center"/>
    </xf>
    <xf numFmtId="0" fontId="19" fillId="0" borderId="5" xfId="0" applyFont="1" applyBorder="1" applyAlignment="1" applyProtection="1">
      <alignment horizontal="center" vertical="center"/>
    </xf>
    <xf numFmtId="57" fontId="4" fillId="0" borderId="3" xfId="0" applyNumberFormat="1" applyFont="1" applyBorder="1" applyAlignment="1" applyProtection="1">
      <alignment horizontal="center" vertical="center"/>
    </xf>
    <xf numFmtId="0" fontId="4" fillId="0" borderId="18" xfId="0" applyFont="1" applyBorder="1" applyAlignment="1">
      <alignment horizontal="center" vertical="center"/>
    </xf>
    <xf numFmtId="0" fontId="1" fillId="0" borderId="19" xfId="0" applyFont="1" applyBorder="1" applyAlignment="1">
      <alignment horizontal="center" vertical="center" wrapText="1"/>
    </xf>
    <xf numFmtId="0" fontId="2" fillId="0" borderId="9" xfId="0" applyFont="1" applyBorder="1" applyAlignment="1" applyProtection="1">
      <alignment horizontal="center" vertical="center" wrapText="1"/>
    </xf>
    <xf numFmtId="0" fontId="2" fillId="0" borderId="10" xfId="0" applyFont="1" applyBorder="1" applyAlignment="1" applyProtection="1">
      <alignment horizontal="center" vertical="center" wrapText="1"/>
    </xf>
    <xf numFmtId="0" fontId="2" fillId="0" borderId="16" xfId="0" applyFont="1" applyBorder="1" applyAlignment="1" applyProtection="1">
      <alignment horizontal="center" vertical="center" wrapText="1"/>
    </xf>
    <xf numFmtId="177" fontId="4"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5" xfId="0" applyFont="1" applyBorder="1" applyProtection="1">
      <alignment vertical="center"/>
    </xf>
    <xf numFmtId="0" fontId="4" fillId="0" borderId="5" xfId="0" applyFont="1" applyBorder="1">
      <alignment vertical="center"/>
    </xf>
    <xf numFmtId="14" fontId="1" fillId="3" borderId="5" xfId="0" applyNumberFormat="1" applyFont="1" applyFill="1" applyBorder="1" applyAlignment="1" applyProtection="1">
      <alignment horizontal="center" vertical="center"/>
    </xf>
    <xf numFmtId="177" fontId="4" fillId="0" borderId="5" xfId="0" applyNumberFormat="1" applyFont="1" applyFill="1" applyBorder="1" applyAlignment="1">
      <alignment horizontal="center" vertical="center"/>
    </xf>
    <xf numFmtId="0" fontId="1" fillId="0" borderId="5" xfId="0" applyFont="1" applyFill="1" applyBorder="1" applyAlignment="1">
      <alignment horizontal="center" vertical="center"/>
    </xf>
    <xf numFmtId="0" fontId="14" fillId="0" borderId="5" xfId="0" applyFont="1" applyFill="1" applyBorder="1">
      <alignment vertical="center"/>
    </xf>
    <xf numFmtId="0" fontId="4" fillId="0" borderId="5" xfId="0" applyFont="1" applyFill="1" applyBorder="1" applyAlignment="1">
      <alignment horizontal="center" vertical="center"/>
    </xf>
    <xf numFmtId="14" fontId="4" fillId="0" borderId="5" xfId="0" applyNumberFormat="1" applyFont="1" applyBorder="1" applyAlignment="1">
      <alignment horizontal="center" vertical="center"/>
    </xf>
    <xf numFmtId="0" fontId="4" fillId="0" borderId="6" xfId="0" applyFont="1" applyBorder="1" applyAlignment="1" applyProtection="1">
      <alignment horizontal="center" vertical="center"/>
    </xf>
    <xf numFmtId="7" fontId="4" fillId="0" borderId="6" xfId="0" applyNumberFormat="1" applyFont="1" applyBorder="1" applyAlignment="1" applyProtection="1">
      <alignment horizontal="center" vertical="center"/>
    </xf>
    <xf numFmtId="0" fontId="1" fillId="0" borderId="6" xfId="0" applyFont="1" applyBorder="1" applyProtection="1">
      <alignment vertical="center"/>
    </xf>
    <xf numFmtId="0" fontId="1" fillId="0" borderId="6" xfId="0" applyFont="1" applyBorder="1">
      <alignment vertical="center"/>
    </xf>
    <xf numFmtId="7" fontId="4" fillId="0" borderId="0" xfId="0" applyNumberFormat="1" applyFont="1" applyAlignment="1">
      <alignment horizontal="center" vertical="center"/>
    </xf>
    <xf numFmtId="0" fontId="4" fillId="4" borderId="5" xfId="0" applyFont="1" applyFill="1" applyBorder="1" applyAlignment="1" applyProtection="1">
      <alignment horizontal="center" vertical="center" wrapText="1"/>
    </xf>
    <xf numFmtId="7" fontId="4" fillId="4" borderId="5" xfId="0" applyNumberFormat="1" applyFont="1" applyFill="1" applyBorder="1" applyAlignment="1" applyProtection="1">
      <alignment horizontal="center" vertical="center" wrapText="1"/>
    </xf>
    <xf numFmtId="0" fontId="4" fillId="4" borderId="5" xfId="0" applyFont="1" applyFill="1" applyBorder="1" applyAlignment="1">
      <alignment horizontal="center" vertical="center"/>
    </xf>
    <xf numFmtId="14" fontId="4" fillId="4" borderId="5" xfId="0" applyNumberFormat="1" applyFont="1" applyFill="1" applyBorder="1" applyAlignment="1" applyProtection="1">
      <alignment horizontal="center" vertical="center"/>
    </xf>
    <xf numFmtId="177" fontId="4" fillId="4" borderId="5" xfId="0" applyNumberFormat="1" applyFont="1" applyFill="1" applyBorder="1" applyAlignment="1" applyProtection="1">
      <alignment horizontal="center" vertical="center"/>
    </xf>
    <xf numFmtId="0" fontId="1" fillId="4" borderId="5" xfId="0" applyFont="1" applyFill="1" applyBorder="1" applyAlignment="1">
      <alignment horizontal="center" vertical="center"/>
    </xf>
    <xf numFmtId="178" fontId="4" fillId="4" borderId="5" xfId="0" applyNumberFormat="1" applyFont="1" applyFill="1" applyBorder="1" applyAlignment="1" applyProtection="1">
      <alignment horizontal="center" vertical="center"/>
    </xf>
    <xf numFmtId="7" fontId="4" fillId="4" borderId="5" xfId="0" applyNumberFormat="1" applyFont="1" applyFill="1" applyBorder="1" applyAlignment="1" applyProtection="1">
      <alignment horizontal="center" vertical="center"/>
    </xf>
    <xf numFmtId="0" fontId="7" fillId="4" borderId="5" xfId="0" applyFont="1" applyFill="1" applyBorder="1" applyAlignment="1">
      <alignment horizontal="center" vertical="center"/>
    </xf>
    <xf numFmtId="0" fontId="1" fillId="0" borderId="0" xfId="0" applyFont="1" applyAlignment="1">
      <alignment vertical="center"/>
    </xf>
    <xf numFmtId="0" fontId="4" fillId="5" borderId="3" xfId="0" applyFont="1" applyFill="1" applyBorder="1" applyAlignment="1" applyProtection="1">
      <alignment horizontal="center" vertical="center"/>
    </xf>
    <xf numFmtId="7" fontId="4" fillId="0" borderId="0" xfId="0" applyNumberFormat="1" applyFont="1" applyAlignment="1" applyProtection="1">
      <alignment horizontal="center" vertical="center"/>
    </xf>
    <xf numFmtId="57" fontId="6" fillId="0" borderId="3" xfId="0" applyNumberFormat="1" applyFont="1" applyBorder="1" applyProtection="1">
      <alignment vertical="center"/>
    </xf>
    <xf numFmtId="0" fontId="6" fillId="0" borderId="3" xfId="0" applyFont="1" applyBorder="1" applyProtection="1">
      <alignment vertical="center"/>
    </xf>
    <xf numFmtId="0" fontId="12" fillId="0" borderId="5" xfId="0" applyFont="1" applyBorder="1" applyAlignment="1">
      <alignment horizontal="center" vertical="center"/>
    </xf>
    <xf numFmtId="0" fontId="4" fillId="0" borderId="4" xfId="0" applyFont="1" applyBorder="1" applyAlignment="1" applyProtection="1">
      <alignment horizontal="center" vertical="center" wrapText="1"/>
    </xf>
    <xf numFmtId="0" fontId="4" fillId="0" borderId="0" xfId="0" applyFont="1" applyAlignment="1" applyProtection="1">
      <alignment horizontal="center" vertical="center" wrapText="1"/>
    </xf>
    <xf numFmtId="0" fontId="13" fillId="0" borderId="5" xfId="0" applyFont="1" applyBorder="1" applyAlignment="1" applyProtection="1">
      <alignment horizontal="center" vertical="center" wrapText="1"/>
    </xf>
    <xf numFmtId="0" fontId="5" fillId="0" borderId="5" xfId="0" applyFont="1" applyBorder="1" applyAlignment="1">
      <alignment horizontal="center" vertical="center" wrapText="1"/>
    </xf>
    <xf numFmtId="0" fontId="20" fillId="0" borderId="0" xfId="0" applyFont="1" applyFill="1">
      <alignment vertical="center"/>
    </xf>
    <xf numFmtId="0" fontId="5" fillId="0" borderId="5" xfId="0" applyFont="1" applyBorder="1" applyAlignment="1">
      <alignment horizontal="center" vertical="center"/>
    </xf>
    <xf numFmtId="0" fontId="5" fillId="0" borderId="5" xfId="0" applyFont="1" applyFill="1" applyBorder="1" applyAlignment="1">
      <alignment horizontal="center" vertical="center"/>
    </xf>
    <xf numFmtId="0" fontId="5" fillId="0" borderId="0" xfId="0" applyFont="1" applyFill="1">
      <alignment vertical="center"/>
    </xf>
    <xf numFmtId="0" fontId="6" fillId="0" borderId="5" xfId="0" applyFont="1" applyBorder="1">
      <alignment vertical="center"/>
    </xf>
    <xf numFmtId="181" fontId="5" fillId="0" borderId="5" xfId="0" applyNumberFormat="1" applyFont="1" applyBorder="1" applyAlignment="1">
      <alignment horizontal="center" vertical="center"/>
    </xf>
    <xf numFmtId="0" fontId="5" fillId="0" borderId="18" xfId="0" applyFont="1" applyBorder="1" applyAlignment="1">
      <alignment horizontal="center" vertical="center"/>
    </xf>
    <xf numFmtId="0" fontId="5" fillId="0" borderId="0" xfId="0" applyFont="1" applyBorder="1" applyAlignment="1">
      <alignment horizontal="center" vertical="center"/>
    </xf>
    <xf numFmtId="181" fontId="5" fillId="0" borderId="5" xfId="0" applyNumberFormat="1" applyFont="1" applyFill="1" applyBorder="1" applyAlignment="1">
      <alignment horizontal="center" vertical="center"/>
    </xf>
    <xf numFmtId="0" fontId="5" fillId="0" borderId="0" xfId="0" applyFont="1" applyFill="1" applyBorder="1" applyAlignment="1">
      <alignment horizontal="center" vertical="center"/>
    </xf>
    <xf numFmtId="0" fontId="4" fillId="0" borderId="20" xfId="0" applyFont="1" applyBorder="1" applyAlignment="1" applyProtection="1">
      <alignment horizontal="center" vertical="center" wrapText="1"/>
    </xf>
    <xf numFmtId="0" fontId="4" fillId="0" borderId="16" xfId="0" applyFont="1" applyBorder="1" applyAlignment="1" applyProtection="1">
      <alignment horizontal="center" vertical="center" wrapText="1"/>
    </xf>
    <xf numFmtId="0" fontId="4" fillId="0" borderId="21" xfId="0" applyFont="1" applyBorder="1" applyAlignment="1" applyProtection="1">
      <alignment horizontal="center" vertical="center" wrapText="1"/>
    </xf>
    <xf numFmtId="0" fontId="21" fillId="6" borderId="0" xfId="0" applyFont="1" applyFill="1">
      <alignment vertical="center"/>
    </xf>
    <xf numFmtId="0" fontId="12" fillId="0" borderId="0" xfId="0" applyFont="1" applyFill="1">
      <alignment vertical="center"/>
    </xf>
    <xf numFmtId="0" fontId="6" fillId="0" borderId="0" xfId="0" applyFont="1" applyFill="1">
      <alignment vertical="center"/>
    </xf>
    <xf numFmtId="0" fontId="0" fillId="0" borderId="0" xfId="0" applyFill="1">
      <alignment vertical="center"/>
    </xf>
    <xf numFmtId="0" fontId="12" fillId="0" borderId="0" xfId="0" applyFont="1" applyFill="1" applyAlignment="1">
      <alignment horizontal="center" vertical="center"/>
    </xf>
    <xf numFmtId="0" fontId="21" fillId="0" borderId="5" xfId="0" applyFont="1" applyFill="1" applyBorder="1">
      <alignment vertical="center"/>
    </xf>
    <xf numFmtId="0" fontId="6" fillId="0" borderId="5" xfId="0" applyFont="1" applyBorder="1" applyAlignment="1">
      <alignment horizontal="center" vertical="center"/>
    </xf>
    <xf numFmtId="181" fontId="6" fillId="0" borderId="5" xfId="0" applyNumberFormat="1" applyFont="1" applyBorder="1" applyAlignment="1">
      <alignment horizontal="center" vertical="center"/>
    </xf>
    <xf numFmtId="0" fontId="12" fillId="0" borderId="5" xfId="0" applyFont="1" applyFill="1" applyBorder="1" applyProtection="1">
      <alignment vertical="center"/>
    </xf>
    <xf numFmtId="14" fontId="4" fillId="3" borderId="5" xfId="0" applyNumberFormat="1" applyFont="1" applyFill="1" applyBorder="1" applyAlignment="1" applyProtection="1">
      <alignment horizontal="center" vertical="center" wrapText="1"/>
    </xf>
    <xf numFmtId="0" fontId="6" fillId="0" borderId="5" xfId="0" applyFont="1" applyFill="1" applyBorder="1" applyAlignment="1">
      <alignment horizontal="center" vertical="center"/>
    </xf>
    <xf numFmtId="181" fontId="6" fillId="0" borderId="5" xfId="0" applyNumberFormat="1" applyFont="1" applyFill="1" applyBorder="1" applyAlignment="1">
      <alignment horizontal="center" vertical="center"/>
    </xf>
    <xf numFmtId="0" fontId="21" fillId="0" borderId="0" xfId="0" applyFont="1" applyFill="1">
      <alignment vertical="center"/>
    </xf>
    <xf numFmtId="0" fontId="4" fillId="0" borderId="12" xfId="0" applyFont="1" applyBorder="1" applyAlignment="1" applyProtection="1">
      <alignment horizontal="center" vertical="center" wrapText="1"/>
    </xf>
    <xf numFmtId="7" fontId="4" fillId="0" borderId="12" xfId="0" applyNumberFormat="1" applyFont="1" applyBorder="1" applyAlignment="1" applyProtection="1">
      <alignment horizontal="center" vertical="center" wrapText="1"/>
    </xf>
    <xf numFmtId="0" fontId="4" fillId="0" borderId="12" xfId="0" applyFont="1" applyBorder="1" applyAlignment="1" applyProtection="1">
      <alignment horizontal="center" vertical="center"/>
    </xf>
    <xf numFmtId="14" fontId="1" fillId="0" borderId="12" xfId="0" applyNumberFormat="1" applyFont="1" applyBorder="1" applyAlignment="1" applyProtection="1">
      <alignment horizontal="center" vertical="center"/>
    </xf>
    <xf numFmtId="178" fontId="4" fillId="0" borderId="12" xfId="0" applyNumberFormat="1" applyFont="1" applyBorder="1" applyAlignment="1" applyProtection="1">
      <alignment horizontal="center" vertical="center"/>
    </xf>
    <xf numFmtId="7" fontId="4" fillId="0" borderId="12" xfId="0" applyNumberFormat="1" applyFont="1" applyBorder="1" applyAlignment="1" applyProtection="1">
      <alignment horizontal="center" vertical="center"/>
    </xf>
    <xf numFmtId="0" fontId="5" fillId="0" borderId="0" xfId="0" applyFont="1" applyFill="1" applyAlignment="1">
      <alignment horizontal="center" vertical="center"/>
    </xf>
    <xf numFmtId="14" fontId="1" fillId="0" borderId="3" xfId="0" applyNumberFormat="1" applyFont="1" applyFill="1" applyBorder="1" applyAlignment="1" applyProtection="1">
      <alignment horizontal="center" vertical="center"/>
    </xf>
    <xf numFmtId="0" fontId="12" fillId="0" borderId="18" xfId="0" applyFont="1" applyBorder="1" applyAlignment="1">
      <alignment horizontal="center" vertical="center"/>
    </xf>
    <xf numFmtId="181" fontId="12" fillId="0" borderId="19" xfId="0" applyNumberFormat="1" applyFont="1" applyBorder="1" applyAlignment="1">
      <alignment horizontal="center" vertical="center"/>
    </xf>
    <xf numFmtId="0" fontId="3" fillId="2" borderId="9" xfId="0" applyFont="1" applyFill="1" applyBorder="1" applyAlignment="1" applyProtection="1">
      <alignment horizontal="center" vertical="center" wrapText="1"/>
    </xf>
    <xf numFmtId="14" fontId="11" fillId="3" borderId="5" xfId="0" applyNumberFormat="1" applyFont="1" applyFill="1" applyBorder="1" applyAlignment="1" applyProtection="1">
      <alignment horizontal="center" vertical="center"/>
    </xf>
    <xf numFmtId="0" fontId="12" fillId="0" borderId="5" xfId="0" applyFont="1" applyFill="1" applyBorder="1" applyAlignment="1">
      <alignment horizontal="center" vertical="center"/>
    </xf>
    <xf numFmtId="181" fontId="12" fillId="0" borderId="5" xfId="0" applyNumberFormat="1" applyFont="1" applyFill="1" applyBorder="1" applyAlignment="1">
      <alignment horizontal="center" vertical="center"/>
    </xf>
    <xf numFmtId="0" fontId="5" fillId="0" borderId="5" xfId="0" applyFont="1" applyFill="1" applyBorder="1" applyAlignment="1">
      <alignment horizontal="center" vertical="center" wrapText="1"/>
    </xf>
    <xf numFmtId="14" fontId="1" fillId="7" borderId="5" xfId="0" applyNumberFormat="1" applyFont="1" applyFill="1" applyBorder="1" applyAlignment="1" applyProtection="1">
      <alignment horizontal="center" vertical="center"/>
    </xf>
    <xf numFmtId="178" fontId="4" fillId="7" borderId="5" xfId="0" applyNumberFormat="1" applyFont="1" applyFill="1" applyBorder="1" applyAlignment="1" applyProtection="1">
      <alignment horizontal="center" vertical="center"/>
    </xf>
    <xf numFmtId="0" fontId="5" fillId="0" borderId="5" xfId="0" applyFont="1" applyBorder="1" applyAlignment="1">
      <alignment vertical="center"/>
    </xf>
    <xf numFmtId="181" fontId="5" fillId="0" borderId="16" xfId="0" applyNumberFormat="1" applyFont="1" applyBorder="1" applyAlignment="1">
      <alignment horizontal="center" vertical="center"/>
    </xf>
    <xf numFmtId="0" fontId="7" fillId="0" borderId="0" xfId="0" applyFont="1">
      <alignment vertical="center"/>
    </xf>
    <xf numFmtId="0" fontId="4" fillId="0" borderId="5" xfId="0" applyFont="1" applyBorder="1" applyProtection="1">
      <alignment vertical="center"/>
    </xf>
    <xf numFmtId="0" fontId="4" fillId="6" borderId="5" xfId="0" applyFont="1" applyFill="1" applyBorder="1" applyAlignment="1" applyProtection="1">
      <alignment horizontal="center" vertical="center"/>
    </xf>
    <xf numFmtId="14" fontId="4" fillId="6" borderId="5" xfId="0" applyNumberFormat="1" applyFont="1" applyFill="1" applyBorder="1" applyAlignment="1" applyProtection="1">
      <alignment horizontal="center" vertical="center" wrapText="1"/>
    </xf>
    <xf numFmtId="181" fontId="1" fillId="0" borderId="5" xfId="0" applyNumberFormat="1" applyFont="1" applyBorder="1" applyAlignment="1">
      <alignment horizontal="center" vertical="center"/>
    </xf>
    <xf numFmtId="0" fontId="4" fillId="0" borderId="11" xfId="0" applyFont="1" applyBorder="1" applyAlignment="1" applyProtection="1">
      <alignment horizontal="center" vertical="center" wrapText="1"/>
    </xf>
    <xf numFmtId="14" fontId="4" fillId="0" borderId="0" xfId="0" applyNumberFormat="1" applyFont="1" applyAlignment="1">
      <alignment horizontal="center" vertical="center" wrapText="1"/>
    </xf>
    <xf numFmtId="57" fontId="4" fillId="0" borderId="11" xfId="0" applyNumberFormat="1" applyFont="1" applyBorder="1" applyProtection="1">
      <alignment vertical="center"/>
    </xf>
    <xf numFmtId="0" fontId="4" fillId="0" borderId="11" xfId="0" applyFont="1" applyBorder="1" applyProtection="1">
      <alignment vertical="center"/>
    </xf>
    <xf numFmtId="0" fontId="4" fillId="0" borderId="22" xfId="0" applyFont="1" applyBorder="1" applyAlignment="1">
      <alignment horizontal="center" vertical="center"/>
    </xf>
    <xf numFmtId="181" fontId="4" fillId="0" borderId="13" xfId="0" applyNumberFormat="1" applyFont="1" applyBorder="1" applyAlignment="1">
      <alignment horizontal="center" vertical="center"/>
    </xf>
    <xf numFmtId="181" fontId="4" fillId="0" borderId="19" xfId="0" applyNumberFormat="1" applyFont="1" applyBorder="1" applyAlignment="1">
      <alignment horizontal="center" vertical="center"/>
    </xf>
    <xf numFmtId="181" fontId="4" fillId="0" borderId="5" xfId="0" applyNumberFormat="1" applyFont="1" applyBorder="1" applyAlignment="1">
      <alignment horizontal="center" vertical="center"/>
    </xf>
    <xf numFmtId="14" fontId="1" fillId="4" borderId="5" xfId="0" applyNumberFormat="1" applyFont="1" applyFill="1" applyBorder="1" applyAlignment="1" applyProtection="1">
      <alignment horizontal="center" vertical="center"/>
    </xf>
    <xf numFmtId="0" fontId="16" fillId="0" borderId="3" xfId="0" applyFont="1" applyBorder="1" applyAlignment="1" applyProtection="1">
      <alignment horizontal="center" vertical="center" wrapText="1"/>
    </xf>
    <xf numFmtId="0" fontId="4" fillId="0" borderId="0" xfId="0" applyFont="1" applyAlignment="1">
      <alignment horizontal="center" vertical="center" wrapText="1"/>
    </xf>
    <xf numFmtId="0" fontId="4" fillId="5" borderId="3" xfId="0" applyFont="1" applyFill="1" applyBorder="1" applyAlignment="1" applyProtection="1">
      <alignment horizontal="center" vertical="center" wrapText="1"/>
    </xf>
    <xf numFmtId="0" fontId="4" fillId="5" borderId="23" xfId="0" applyFont="1" applyFill="1" applyBorder="1" applyAlignment="1" applyProtection="1">
      <alignment horizontal="center" vertical="center" wrapText="1"/>
    </xf>
    <xf numFmtId="0" fontId="4" fillId="5" borderId="24" xfId="0" applyFont="1" applyFill="1" applyBorder="1" applyAlignment="1" applyProtection="1">
      <alignment horizontal="center" vertical="center" wrapText="1"/>
    </xf>
    <xf numFmtId="0" fontId="4" fillId="5" borderId="25" xfId="0" applyFont="1" applyFill="1" applyBorder="1" applyAlignment="1" applyProtection="1">
      <alignment horizontal="center" vertical="center" wrapText="1"/>
    </xf>
    <xf numFmtId="0" fontId="4" fillId="8" borderId="3" xfId="0" applyFont="1" applyFill="1" applyBorder="1" applyAlignment="1" applyProtection="1">
      <alignment horizontal="center" vertical="center" wrapText="1"/>
    </xf>
    <xf numFmtId="0" fontId="4" fillId="8" borderId="23" xfId="0" applyFont="1" applyFill="1" applyBorder="1" applyAlignment="1" applyProtection="1">
      <alignment horizontal="center" vertical="center" wrapText="1"/>
    </xf>
    <xf numFmtId="0" fontId="4" fillId="8" borderId="24" xfId="0" applyFont="1" applyFill="1" applyBorder="1" applyAlignment="1" applyProtection="1">
      <alignment horizontal="center" vertical="center" wrapText="1"/>
    </xf>
    <xf numFmtId="0" fontId="4" fillId="8" borderId="25" xfId="0" applyFont="1" applyFill="1" applyBorder="1" applyAlignment="1" applyProtection="1">
      <alignment horizontal="center" vertical="center" wrapText="1"/>
    </xf>
    <xf numFmtId="0" fontId="4" fillId="5" borderId="12" xfId="0" applyFont="1" applyFill="1" applyBorder="1" applyAlignment="1" applyProtection="1">
      <alignment horizontal="center" vertical="center" wrapText="1"/>
    </xf>
    <xf numFmtId="0" fontId="4" fillId="5" borderId="26" xfId="0" applyFont="1" applyFill="1" applyBorder="1" applyAlignment="1" applyProtection="1">
      <alignment horizontal="center" vertical="center" wrapText="1"/>
    </xf>
    <xf numFmtId="0" fontId="4" fillId="5" borderId="27" xfId="0" applyFont="1" applyFill="1" applyBorder="1" applyAlignment="1" applyProtection="1">
      <alignment horizontal="center" vertical="center" wrapText="1"/>
    </xf>
    <xf numFmtId="0" fontId="4" fillId="5" borderId="28" xfId="0" applyFont="1" applyFill="1" applyBorder="1" applyAlignment="1" applyProtection="1">
      <alignment horizontal="center" vertical="center" wrapText="1"/>
    </xf>
    <xf numFmtId="0" fontId="14" fillId="0" borderId="3" xfId="0" applyFont="1" applyBorder="1" applyAlignment="1" applyProtection="1">
      <alignment horizontal="center" vertical="center"/>
    </xf>
    <xf numFmtId="0" fontId="14" fillId="0" borderId="5" xfId="0" applyFont="1" applyBorder="1" applyAlignment="1" applyProtection="1">
      <alignment horizontal="center" vertical="center"/>
    </xf>
    <xf numFmtId="0" fontId="22" fillId="0" borderId="5" xfId="0" applyFont="1" applyFill="1" applyBorder="1" applyAlignment="1">
      <alignment horizontal="center" vertical="center"/>
    </xf>
    <xf numFmtId="0" fontId="23" fillId="0" borderId="5" xfId="0" applyFont="1" applyBorder="1" applyAlignment="1" applyProtection="1">
      <alignment horizontal="center" vertical="center"/>
    </xf>
    <xf numFmtId="0" fontId="2" fillId="0" borderId="23" xfId="0" applyFont="1" applyBorder="1" applyAlignment="1" applyProtection="1">
      <alignment horizontal="center" vertical="center" wrapText="1"/>
    </xf>
    <xf numFmtId="0" fontId="2" fillId="0" borderId="24" xfId="0" applyFont="1" applyBorder="1" applyAlignment="1" applyProtection="1">
      <alignment horizontal="center" vertical="center" wrapText="1"/>
    </xf>
    <xf numFmtId="0" fontId="2" fillId="0" borderId="25" xfId="0" applyFont="1" applyBorder="1" applyAlignment="1" applyProtection="1">
      <alignment horizontal="center" vertical="center" wrapText="1"/>
    </xf>
    <xf numFmtId="0" fontId="14" fillId="0" borderId="3" xfId="0" applyFont="1" applyBorder="1" applyAlignment="1" applyProtection="1">
      <alignment horizontal="center" vertical="center" wrapText="1"/>
    </xf>
    <xf numFmtId="177" fontId="14" fillId="0" borderId="3" xfId="0" applyNumberFormat="1" applyFont="1" applyBorder="1" applyAlignment="1" applyProtection="1">
      <alignment horizontal="center" vertical="center" wrapText="1"/>
    </xf>
    <xf numFmtId="7" fontId="14" fillId="0" borderId="3" xfId="0" applyNumberFormat="1" applyFont="1" applyBorder="1" applyAlignment="1" applyProtection="1">
      <alignment vertical="center" wrapText="1"/>
    </xf>
    <xf numFmtId="0" fontId="14" fillId="0" borderId="3" xfId="0" applyFont="1" applyFill="1" applyBorder="1" applyAlignment="1" applyProtection="1">
      <alignment horizontal="center" vertical="center" wrapText="1"/>
    </xf>
    <xf numFmtId="177" fontId="14" fillId="0" borderId="3" xfId="0" applyNumberFormat="1" applyFont="1" applyFill="1" applyBorder="1" applyAlignment="1" applyProtection="1">
      <alignment horizontal="center" vertical="center" wrapText="1"/>
    </xf>
    <xf numFmtId="0" fontId="14" fillId="0" borderId="12" xfId="0" applyFont="1" applyBorder="1" applyAlignment="1" applyProtection="1">
      <alignment horizontal="center" vertical="center" wrapText="1"/>
    </xf>
    <xf numFmtId="177" fontId="14" fillId="0" borderId="12" xfId="0" applyNumberFormat="1" applyFont="1" applyBorder="1" applyAlignment="1" applyProtection="1">
      <alignment horizontal="center" vertical="center" wrapText="1"/>
    </xf>
    <xf numFmtId="0" fontId="14" fillId="0" borderId="11" xfId="0" applyFont="1" applyBorder="1" applyProtection="1">
      <alignment vertical="center"/>
    </xf>
    <xf numFmtId="14" fontId="14" fillId="0" borderId="3" xfId="0" applyNumberFormat="1" applyFont="1" applyBorder="1" applyAlignment="1" applyProtection="1">
      <alignment horizontal="center" vertical="center" wrapText="1"/>
    </xf>
    <xf numFmtId="0" fontId="14" fillId="5" borderId="3" xfId="0" applyFont="1" applyFill="1" applyBorder="1" applyAlignment="1" applyProtection="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hyperlink" Target="172.16.10.165" TargetMode="External"/><Relationship Id="rId1" Type="http://schemas.openxmlformats.org/officeDocument/2006/relationships/hyperlink" Target="172.16.10.164"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10.10.0.20" TargetMode="External"/><Relationship Id="rId8" Type="http://schemas.openxmlformats.org/officeDocument/2006/relationships/hyperlink" Target="10.10.0.19" TargetMode="External"/><Relationship Id="rId7" Type="http://schemas.openxmlformats.org/officeDocument/2006/relationships/hyperlink" Target="10.10.0.18" TargetMode="External"/><Relationship Id="rId6" Type="http://schemas.openxmlformats.org/officeDocument/2006/relationships/hyperlink" Target="10.10.0.17" TargetMode="External"/><Relationship Id="rId5" Type="http://schemas.openxmlformats.org/officeDocument/2006/relationships/hyperlink" Target="10.10.0.16" TargetMode="External"/><Relationship Id="rId4" Type="http://schemas.openxmlformats.org/officeDocument/2006/relationships/hyperlink" Target="10.10.0.15" TargetMode="External"/><Relationship Id="rId3" Type="http://schemas.openxmlformats.org/officeDocument/2006/relationships/hyperlink" Target="10.10.0.14" TargetMode="External"/><Relationship Id="rId2" Type="http://schemas.openxmlformats.org/officeDocument/2006/relationships/hyperlink" Target="10.10.0.8" TargetMode="External"/><Relationship Id="rId17" Type="http://schemas.openxmlformats.org/officeDocument/2006/relationships/hyperlink" Target="10.10.0.28" TargetMode="External"/><Relationship Id="rId16" Type="http://schemas.openxmlformats.org/officeDocument/2006/relationships/hyperlink" Target="10.10.0.27" TargetMode="External"/><Relationship Id="rId15" Type="http://schemas.openxmlformats.org/officeDocument/2006/relationships/hyperlink" Target="10.10.0.26" TargetMode="External"/><Relationship Id="rId14" Type="http://schemas.openxmlformats.org/officeDocument/2006/relationships/hyperlink" Target="10.10.0.25" TargetMode="External"/><Relationship Id="rId13" Type="http://schemas.openxmlformats.org/officeDocument/2006/relationships/hyperlink" Target="10.10.0.24" TargetMode="External"/><Relationship Id="rId12" Type="http://schemas.openxmlformats.org/officeDocument/2006/relationships/hyperlink" Target="10.10.0.23" TargetMode="External"/><Relationship Id="rId11" Type="http://schemas.openxmlformats.org/officeDocument/2006/relationships/hyperlink" Target="10.10.0.22" TargetMode="External"/><Relationship Id="rId10" Type="http://schemas.openxmlformats.org/officeDocument/2006/relationships/hyperlink" Target="10.10.0.21" TargetMode="External"/><Relationship Id="rId1" Type="http://schemas.openxmlformats.org/officeDocument/2006/relationships/hyperlink" Target="10.10.0.7" TargetMode="External"/></Relationships>
</file>

<file path=xl/worksheets/_rels/sheet7.xml.rels><?xml version="1.0" encoding="UTF-8" standalone="yes"?>
<Relationships xmlns="http://schemas.openxmlformats.org/package/2006/relationships"><Relationship Id="rId9" Type="http://schemas.openxmlformats.org/officeDocument/2006/relationships/hyperlink" Target="100.126.102.10" TargetMode="External"/><Relationship Id="rId8" Type="http://schemas.openxmlformats.org/officeDocument/2006/relationships/hyperlink" Target="100.126.102.9" TargetMode="External"/><Relationship Id="rId7" Type="http://schemas.openxmlformats.org/officeDocument/2006/relationships/hyperlink" Target="100.126.102.8" TargetMode="External"/><Relationship Id="rId6" Type="http://schemas.openxmlformats.org/officeDocument/2006/relationships/hyperlink" Target="100.126.102.7" TargetMode="External"/><Relationship Id="rId5" Type="http://schemas.openxmlformats.org/officeDocument/2006/relationships/hyperlink" Target="100.126.102.6" TargetMode="External"/><Relationship Id="rId4" Type="http://schemas.openxmlformats.org/officeDocument/2006/relationships/hyperlink" Target="100.126.102.5" TargetMode="External"/><Relationship Id="rId32" Type="http://schemas.openxmlformats.org/officeDocument/2006/relationships/hyperlink" Target="100.126.102.94" TargetMode="External"/><Relationship Id="rId31" Type="http://schemas.openxmlformats.org/officeDocument/2006/relationships/hyperlink" Target="100.126.102.93" TargetMode="External"/><Relationship Id="rId30" Type="http://schemas.openxmlformats.org/officeDocument/2006/relationships/hyperlink" Target="100.126.102.87" TargetMode="External"/><Relationship Id="rId3" Type="http://schemas.openxmlformats.org/officeDocument/2006/relationships/hyperlink" Target="100.126.102.4" TargetMode="External"/><Relationship Id="rId29" Type="http://schemas.openxmlformats.org/officeDocument/2006/relationships/hyperlink" Target="100.126.102.74" TargetMode="External"/><Relationship Id="rId28" Type="http://schemas.openxmlformats.org/officeDocument/2006/relationships/hyperlink" Target="100.126.102.28" TargetMode="External"/><Relationship Id="rId27" Type="http://schemas.openxmlformats.org/officeDocument/2006/relationships/hyperlink" Target="173.100.102.134" TargetMode="External"/><Relationship Id="rId26" Type="http://schemas.openxmlformats.org/officeDocument/2006/relationships/hyperlink" Target="100.126.102.27" TargetMode="External"/><Relationship Id="rId25" Type="http://schemas.openxmlformats.org/officeDocument/2006/relationships/hyperlink" Target="100.126.102.26" TargetMode="External"/><Relationship Id="rId24" Type="http://schemas.openxmlformats.org/officeDocument/2006/relationships/hyperlink" Target="100.126.102.25" TargetMode="External"/><Relationship Id="rId23" Type="http://schemas.openxmlformats.org/officeDocument/2006/relationships/hyperlink" Target="100.126.102.24" TargetMode="External"/><Relationship Id="rId22" Type="http://schemas.openxmlformats.org/officeDocument/2006/relationships/hyperlink" Target="100.126.102.23" TargetMode="External"/><Relationship Id="rId21" Type="http://schemas.openxmlformats.org/officeDocument/2006/relationships/hyperlink" Target="100.126.102.22" TargetMode="External"/><Relationship Id="rId20" Type="http://schemas.openxmlformats.org/officeDocument/2006/relationships/hyperlink" Target="100.126.102.21" TargetMode="External"/><Relationship Id="rId2" Type="http://schemas.openxmlformats.org/officeDocument/2006/relationships/hyperlink" Target="100.126.102.3" TargetMode="External"/><Relationship Id="rId19" Type="http://schemas.openxmlformats.org/officeDocument/2006/relationships/hyperlink" Target="100.126.102.20" TargetMode="External"/><Relationship Id="rId18" Type="http://schemas.openxmlformats.org/officeDocument/2006/relationships/hyperlink" Target="100.126.102.19" TargetMode="External"/><Relationship Id="rId17" Type="http://schemas.openxmlformats.org/officeDocument/2006/relationships/hyperlink" Target="100.126.102.18" TargetMode="External"/><Relationship Id="rId16" Type="http://schemas.openxmlformats.org/officeDocument/2006/relationships/hyperlink" Target="100.126.102.17" TargetMode="External"/><Relationship Id="rId15" Type="http://schemas.openxmlformats.org/officeDocument/2006/relationships/hyperlink" Target="100.126.102.16" TargetMode="External"/><Relationship Id="rId14" Type="http://schemas.openxmlformats.org/officeDocument/2006/relationships/hyperlink" Target="100.126.102.15" TargetMode="External"/><Relationship Id="rId13" Type="http://schemas.openxmlformats.org/officeDocument/2006/relationships/hyperlink" Target="100.126.102.14" TargetMode="External"/><Relationship Id="rId12" Type="http://schemas.openxmlformats.org/officeDocument/2006/relationships/hyperlink" Target="100.126.102.13" TargetMode="External"/><Relationship Id="rId11" Type="http://schemas.openxmlformats.org/officeDocument/2006/relationships/hyperlink" Target="100.126.102.12" TargetMode="External"/><Relationship Id="rId10" Type="http://schemas.openxmlformats.org/officeDocument/2006/relationships/hyperlink" Target="100.126.102.11" TargetMode="External"/><Relationship Id="rId1" Type="http://schemas.openxmlformats.org/officeDocument/2006/relationships/hyperlink" Target="100.126.102.2"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170.17.7.1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M71"/>
  <sheetViews>
    <sheetView tabSelected="1" zoomScale="55" zoomScaleNormal="55" topLeftCell="A3" workbookViewId="0">
      <selection activeCell="C7" sqref="C7:E7"/>
    </sheetView>
  </sheetViews>
  <sheetFormatPr defaultColWidth="11" defaultRowHeight="30" customHeight="1"/>
  <cols>
    <col min="1" max="1" width="3.6640625" style="58" customWidth="1"/>
    <col min="2" max="2" width="21" style="58" customWidth="1"/>
    <col min="3" max="3" width="25.1640625" style="58" customWidth="1"/>
    <col min="4" max="4" width="29.3046875" style="58" customWidth="1"/>
    <col min="5" max="5" width="25.1640625" style="58" customWidth="1"/>
    <col min="6" max="6" width="17" style="58" customWidth="1"/>
    <col min="7" max="7" width="7.5" style="58" customWidth="1"/>
    <col min="8" max="8" width="9" style="58" customWidth="1"/>
    <col min="9" max="9" width="9.8359375" style="58" customWidth="1"/>
    <col min="10" max="10" width="21.25" style="58" customWidth="1"/>
    <col min="11" max="11" width="19.578125" style="58" customWidth="1"/>
    <col min="12" max="12" width="29.3046875" style="58" customWidth="1"/>
    <col min="13" max="14" width="23.21875" style="279" customWidth="1"/>
    <col min="15" max="16384" width="11" style="279"/>
  </cols>
  <sheetData>
    <row r="1" customHeight="1" spans="1:14">
      <c r="A1" s="294"/>
      <c r="B1" s="61" t="s">
        <v>0</v>
      </c>
      <c r="C1" s="61"/>
      <c r="D1" s="61"/>
      <c r="E1" s="61"/>
      <c r="F1" s="294"/>
      <c r="G1" s="294"/>
      <c r="H1" s="294"/>
      <c r="I1" s="294"/>
      <c r="J1" s="294"/>
      <c r="K1" s="294"/>
      <c r="L1" s="294"/>
    </row>
    <row r="2" customHeight="1" spans="1:14">
      <c r="A2" s="294"/>
      <c r="B2" s="13" t="s">
        <v>1</v>
      </c>
      <c r="C2" s="13" t="s">
        <v>2</v>
      </c>
      <c r="D2" s="13"/>
      <c r="E2" s="13"/>
      <c r="F2" s="294"/>
      <c r="G2" s="294"/>
      <c r="H2" s="294"/>
      <c r="I2" s="294"/>
      <c r="J2" s="294"/>
      <c r="K2" s="294"/>
      <c r="L2" s="294"/>
    </row>
    <row r="3" ht="41" customHeight="1" spans="1:14">
      <c r="A3" s="294"/>
      <c r="B3" s="295" t="s">
        <v>3</v>
      </c>
      <c r="C3" s="296" t="s">
        <v>4</v>
      </c>
      <c r="D3" s="297"/>
      <c r="E3" s="298"/>
      <c r="F3" s="294"/>
      <c r="G3" s="294"/>
      <c r="H3" s="294"/>
      <c r="I3" s="294"/>
      <c r="J3" s="294"/>
      <c r="K3" s="294"/>
      <c r="L3" s="294"/>
    </row>
    <row r="4" ht="41" customHeight="1" spans="1:14">
      <c r="A4" s="294"/>
      <c r="B4" s="299" t="s">
        <v>5</v>
      </c>
      <c r="C4" s="300" t="s">
        <v>6</v>
      </c>
      <c r="D4" s="301"/>
      <c r="E4" s="302"/>
      <c r="F4" s="294"/>
      <c r="G4" s="294"/>
      <c r="H4" s="294"/>
      <c r="I4" s="294"/>
      <c r="J4" s="294"/>
      <c r="K4" s="294"/>
      <c r="L4" s="294"/>
    </row>
    <row r="5" ht="41" customHeight="1" spans="1:14">
      <c r="A5" s="294"/>
      <c r="B5" s="295" t="s">
        <v>7</v>
      </c>
      <c r="C5" s="296">
        <v>18604460229</v>
      </c>
      <c r="D5" s="297"/>
      <c r="E5" s="298"/>
      <c r="F5" s="294"/>
      <c r="G5" s="294"/>
      <c r="H5" s="294"/>
      <c r="I5" s="294"/>
      <c r="J5" s="294"/>
      <c r="K5" s="294"/>
      <c r="L5" s="294"/>
    </row>
    <row r="6" ht="41" customHeight="1" spans="1:14">
      <c r="A6" s="294"/>
      <c r="B6" s="299" t="s">
        <v>8</v>
      </c>
      <c r="C6" s="300" t="s">
        <v>9</v>
      </c>
      <c r="D6" s="301"/>
      <c r="E6" s="302"/>
      <c r="F6" s="294"/>
      <c r="G6" s="294"/>
      <c r="H6" s="294"/>
      <c r="I6" s="294"/>
      <c r="J6" s="294"/>
      <c r="K6" s="294"/>
      <c r="L6" s="1"/>
    </row>
    <row r="7" ht="41" customHeight="1" spans="1:14">
      <c r="A7" s="294"/>
      <c r="B7" s="303" t="s">
        <v>10</v>
      </c>
      <c r="C7" s="304" t="s">
        <v>11</v>
      </c>
      <c r="D7" s="305"/>
      <c r="E7" s="306"/>
      <c r="F7" s="294"/>
      <c r="G7" s="294"/>
      <c r="H7" s="294"/>
      <c r="I7" s="294"/>
      <c r="J7" s="294"/>
      <c r="K7" s="294"/>
      <c r="L7" s="1"/>
    </row>
    <row r="8" ht="41" customHeight="1" spans="1:14">
      <c r="A8" s="294"/>
      <c r="B8" s="307" t="s">
        <v>12</v>
      </c>
      <c r="C8" s="304" t="s">
        <v>13</v>
      </c>
      <c r="D8" s="305"/>
      <c r="E8" s="306"/>
      <c r="F8" s="294"/>
      <c r="G8" s="294"/>
      <c r="H8" s="294"/>
      <c r="I8" s="294"/>
      <c r="J8" s="294"/>
      <c r="K8" s="294"/>
      <c r="L8" s="1"/>
    </row>
    <row r="9" customHeight="1" spans="1:14">
      <c r="L9" s="1"/>
    </row>
    <row r="10" ht="40" customHeight="1" spans="1:14">
      <c r="A10" s="1"/>
      <c r="B10" s="43" t="s">
        <v>14</v>
      </c>
      <c r="C10" s="43"/>
      <c r="D10" s="43"/>
      <c r="E10" s="43"/>
      <c r="F10" s="43"/>
      <c r="G10" s="1"/>
      <c r="H10" s="1"/>
      <c r="I10" s="1"/>
      <c r="J10" s="43" t="s">
        <v>15</v>
      </c>
      <c r="K10" s="43"/>
      <c r="L10" s="43"/>
      <c r="M10" s="43"/>
      <c r="N10" s="43"/>
    </row>
    <row r="11" ht="40" customHeight="1" spans="1:14">
      <c r="A11" s="1"/>
      <c r="B11" s="25" t="s">
        <v>16</v>
      </c>
      <c r="C11" s="25" t="s">
        <v>17</v>
      </c>
      <c r="D11" s="25" t="s">
        <v>18</v>
      </c>
      <c r="E11" s="25" t="s">
        <v>19</v>
      </c>
      <c r="F11" s="25" t="s">
        <v>20</v>
      </c>
      <c r="G11" s="1"/>
      <c r="H11" s="1"/>
      <c r="I11" s="1"/>
      <c r="J11" s="25" t="s">
        <v>16</v>
      </c>
      <c r="K11" s="25" t="s">
        <v>17</v>
      </c>
      <c r="L11" s="25" t="s">
        <v>18</v>
      </c>
      <c r="M11" s="25" t="s">
        <v>19</v>
      </c>
      <c r="N11" s="25" t="s">
        <v>20</v>
      </c>
    </row>
    <row r="12" ht="40" customHeight="1" spans="1:14">
      <c r="A12" s="1"/>
      <c r="B12" s="27">
        <v>26</v>
      </c>
      <c r="C12" s="27" t="s">
        <v>21</v>
      </c>
      <c r="D12" s="27" t="s">
        <v>22</v>
      </c>
      <c r="E12" s="27">
        <v>332</v>
      </c>
      <c r="F12" s="27">
        <v>28606.69</v>
      </c>
      <c r="G12" s="1"/>
      <c r="H12" s="1"/>
      <c r="I12" s="1"/>
      <c r="J12" s="27">
        <v>26</v>
      </c>
      <c r="K12" s="27" t="s">
        <v>21</v>
      </c>
      <c r="L12" s="27" t="s">
        <v>22</v>
      </c>
      <c r="M12" s="27">
        <v>332</v>
      </c>
      <c r="N12" s="27">
        <v>53320.2599999999</v>
      </c>
    </row>
    <row r="13" ht="40" customHeight="1" spans="1:14">
      <c r="A13" s="1"/>
      <c r="B13" s="29">
        <v>21</v>
      </c>
      <c r="C13" s="29" t="s">
        <v>23</v>
      </c>
      <c r="D13" s="27" t="s">
        <v>24</v>
      </c>
      <c r="E13" s="27">
        <v>53</v>
      </c>
      <c r="F13" s="27">
        <v>112953.6</v>
      </c>
      <c r="G13" s="1"/>
      <c r="H13" s="1"/>
      <c r="I13" s="1"/>
      <c r="J13" s="29">
        <v>21</v>
      </c>
      <c r="K13" s="29" t="s">
        <v>23</v>
      </c>
      <c r="L13" s="27" t="s">
        <v>24</v>
      </c>
      <c r="M13" s="27">
        <v>53</v>
      </c>
      <c r="N13" s="27">
        <v>112953.6</v>
      </c>
    </row>
    <row r="14" ht="40" customHeight="1" spans="1:14">
      <c r="A14" s="1"/>
      <c r="B14" s="29">
        <v>11</v>
      </c>
      <c r="C14" s="29" t="s">
        <v>25</v>
      </c>
      <c r="D14" s="27" t="s">
        <v>26</v>
      </c>
      <c r="E14" s="27">
        <v>8</v>
      </c>
      <c r="F14" s="27">
        <v>115248</v>
      </c>
      <c r="G14" s="1"/>
      <c r="H14" s="1"/>
      <c r="I14" s="1"/>
      <c r="J14" s="29">
        <v>11</v>
      </c>
      <c r="K14" s="29" t="s">
        <v>25</v>
      </c>
      <c r="L14" s="27" t="s">
        <v>26</v>
      </c>
      <c r="M14" s="27">
        <v>8</v>
      </c>
      <c r="N14" s="27">
        <v>115248</v>
      </c>
    </row>
    <row r="15" ht="40" customHeight="1" spans="1:14">
      <c r="A15" s="1"/>
      <c r="B15" s="29">
        <v>13</v>
      </c>
      <c r="C15" s="29" t="s">
        <v>25</v>
      </c>
      <c r="D15" s="27" t="s">
        <v>27</v>
      </c>
      <c r="E15" s="27">
        <v>8</v>
      </c>
      <c r="F15" s="27">
        <v>20560.8</v>
      </c>
      <c r="G15" s="1"/>
      <c r="H15" s="1"/>
      <c r="I15" s="1"/>
      <c r="J15" s="29">
        <v>13</v>
      </c>
      <c r="K15" s="29" t="s">
        <v>25</v>
      </c>
      <c r="L15" s="27" t="s">
        <v>27</v>
      </c>
      <c r="M15" s="27">
        <v>8</v>
      </c>
      <c r="N15" s="27">
        <v>20560.8</v>
      </c>
    </row>
    <row r="16" ht="40" customHeight="1" spans="1:14">
      <c r="A16" s="1"/>
      <c r="B16" s="29">
        <v>12</v>
      </c>
      <c r="C16" s="29" t="s">
        <v>25</v>
      </c>
      <c r="D16" s="27" t="s">
        <v>28</v>
      </c>
      <c r="E16" s="27">
        <v>15</v>
      </c>
      <c r="F16" s="27">
        <v>100842</v>
      </c>
      <c r="G16" s="1"/>
      <c r="H16" s="1"/>
      <c r="I16" s="1"/>
      <c r="J16" s="29">
        <v>12</v>
      </c>
      <c r="K16" s="29" t="s">
        <v>25</v>
      </c>
      <c r="L16" s="27" t="s">
        <v>28</v>
      </c>
      <c r="M16" s="27">
        <v>15</v>
      </c>
      <c r="N16" s="27">
        <v>216090</v>
      </c>
    </row>
    <row r="17" ht="40" customHeight="1" spans="1:14">
      <c r="A17" s="1"/>
      <c r="B17" s="29">
        <v>5</v>
      </c>
      <c r="C17" s="29" t="s">
        <v>25</v>
      </c>
      <c r="D17" s="27" t="s">
        <v>29</v>
      </c>
      <c r="E17" s="27">
        <v>12</v>
      </c>
      <c r="F17" s="27">
        <v>19956</v>
      </c>
      <c r="G17" s="1"/>
      <c r="H17" s="1"/>
      <c r="I17" s="1"/>
      <c r="J17" s="29">
        <v>5</v>
      </c>
      <c r="K17" s="29" t="s">
        <v>25</v>
      </c>
      <c r="L17" s="27" t="s">
        <v>29</v>
      </c>
      <c r="M17" s="27">
        <v>12</v>
      </c>
      <c r="N17" s="27">
        <v>59868</v>
      </c>
    </row>
    <row r="18" ht="40" customHeight="1" spans="1:14">
      <c r="A18" s="1"/>
      <c r="B18" s="27">
        <v>50</v>
      </c>
      <c r="C18" s="29" t="s">
        <v>30</v>
      </c>
      <c r="D18" s="27" t="s">
        <v>31</v>
      </c>
      <c r="E18" s="27">
        <v>13</v>
      </c>
      <c r="F18" s="27">
        <v>3256.11</v>
      </c>
      <c r="G18" s="1"/>
      <c r="H18" s="1"/>
      <c r="I18" s="1"/>
      <c r="J18" s="27">
        <v>50</v>
      </c>
      <c r="K18" s="29" t="s">
        <v>30</v>
      </c>
      <c r="L18" s="27" t="s">
        <v>31</v>
      </c>
      <c r="M18" s="27">
        <v>13</v>
      </c>
      <c r="N18" s="27">
        <v>4235.22</v>
      </c>
    </row>
    <row r="19" s="1" customFormat="1" ht="40" customHeight="1" spans="1:14">
      <c r="B19" s="27">
        <v>30</v>
      </c>
      <c r="C19" s="29" t="s">
        <v>21</v>
      </c>
      <c r="D19" s="29" t="s">
        <v>32</v>
      </c>
      <c r="E19" s="29">
        <v>15</v>
      </c>
      <c r="F19" s="29">
        <v>0</v>
      </c>
      <c r="J19" s="27">
        <v>30</v>
      </c>
      <c r="K19" s="29" t="s">
        <v>21</v>
      </c>
      <c r="L19" s="29" t="s">
        <v>32</v>
      </c>
      <c r="M19" s="29">
        <v>15</v>
      </c>
      <c r="N19" s="29">
        <v>0</v>
      </c>
    </row>
    <row r="20" s="1" customFormat="1" ht="40" customHeight="1" spans="1:14">
      <c r="B20" s="27">
        <v>29</v>
      </c>
      <c r="C20" s="29" t="s">
        <v>21</v>
      </c>
      <c r="D20" s="29" t="s">
        <v>33</v>
      </c>
      <c r="E20" s="29">
        <v>28</v>
      </c>
      <c r="F20" s="29">
        <v>4855.2</v>
      </c>
      <c r="J20" s="27">
        <v>29</v>
      </c>
      <c r="K20" s="29" t="s">
        <v>21</v>
      </c>
      <c r="L20" s="29" t="s">
        <v>33</v>
      </c>
      <c r="M20" s="29">
        <v>28</v>
      </c>
      <c r="N20" s="29">
        <v>4855.2</v>
      </c>
    </row>
    <row r="21" s="1" customFormat="1" ht="40" customHeight="1" spans="1:14">
      <c r="B21" s="27">
        <v>26</v>
      </c>
      <c r="C21" s="27" t="s">
        <v>21</v>
      </c>
      <c r="D21" s="308" t="s">
        <v>34</v>
      </c>
      <c r="E21" s="29">
        <v>9</v>
      </c>
      <c r="F21" s="29">
        <v>0</v>
      </c>
      <c r="J21" s="27">
        <v>26</v>
      </c>
      <c r="K21" s="27" t="s">
        <v>21</v>
      </c>
      <c r="L21" s="308" t="s">
        <v>34</v>
      </c>
      <c r="M21" s="29">
        <v>9</v>
      </c>
      <c r="N21" s="29">
        <v>0</v>
      </c>
    </row>
    <row r="22" s="1" customFormat="1" ht="40" customHeight="1" spans="1:14">
      <c r="B22" s="27">
        <v>2</v>
      </c>
      <c r="C22" s="72" t="s">
        <v>25</v>
      </c>
      <c r="D22" s="308" t="s">
        <v>35</v>
      </c>
      <c r="E22" s="29">
        <v>15</v>
      </c>
      <c r="F22" s="29">
        <v>0</v>
      </c>
      <c r="J22" s="27">
        <v>2</v>
      </c>
      <c r="K22" s="72" t="s">
        <v>25</v>
      </c>
      <c r="L22" s="308" t="s">
        <v>35</v>
      </c>
      <c r="M22" s="29">
        <v>15</v>
      </c>
      <c r="N22" s="29">
        <v>187083</v>
      </c>
    </row>
    <row r="23" s="1" customFormat="1" ht="40" customHeight="1" spans="1:14">
      <c r="B23" s="27">
        <v>5</v>
      </c>
      <c r="C23" s="72" t="s">
        <v>25</v>
      </c>
      <c r="D23" s="309" t="s">
        <v>36</v>
      </c>
      <c r="E23" s="29">
        <v>1</v>
      </c>
      <c r="F23" s="29">
        <v>0</v>
      </c>
      <c r="J23" s="27">
        <v>5</v>
      </c>
      <c r="K23" s="72" t="s">
        <v>25</v>
      </c>
      <c r="L23" s="309" t="s">
        <v>36</v>
      </c>
      <c r="M23" s="29">
        <v>1</v>
      </c>
      <c r="N23" s="29">
        <v>8525.1</v>
      </c>
    </row>
    <row r="24" s="1" customFormat="1" ht="40" customHeight="1" spans="1:14">
      <c r="B24" s="27">
        <v>14</v>
      </c>
      <c r="C24" s="29" t="s">
        <v>25</v>
      </c>
      <c r="D24" s="208" t="s">
        <v>37</v>
      </c>
      <c r="E24" s="29">
        <v>3</v>
      </c>
      <c r="F24" s="309">
        <v>63938.7</v>
      </c>
      <c r="J24" s="27">
        <v>14</v>
      </c>
      <c r="K24" s="29" t="s">
        <v>25</v>
      </c>
      <c r="L24" s="208" t="s">
        <v>37</v>
      </c>
      <c r="M24" s="29">
        <v>3</v>
      </c>
      <c r="N24" s="309">
        <v>63938.7</v>
      </c>
    </row>
    <row r="25" s="1" customFormat="1" ht="40" customHeight="1" spans="1:14">
      <c r="B25" s="27">
        <v>15</v>
      </c>
      <c r="C25" s="29" t="s">
        <v>25</v>
      </c>
      <c r="D25" s="208" t="s">
        <v>38</v>
      </c>
      <c r="E25" s="29">
        <v>3</v>
      </c>
      <c r="F25" s="309">
        <v>6393.6</v>
      </c>
      <c r="J25" s="27">
        <v>15</v>
      </c>
      <c r="K25" s="29" t="s">
        <v>25</v>
      </c>
      <c r="L25" s="208" t="s">
        <v>38</v>
      </c>
      <c r="M25" s="29">
        <v>3</v>
      </c>
      <c r="N25" s="309">
        <v>6393.6</v>
      </c>
    </row>
    <row r="26" s="1" customFormat="1" ht="40" customHeight="1" spans="1:14">
      <c r="B26" s="43" t="s">
        <v>39</v>
      </c>
      <c r="C26" s="43"/>
      <c r="D26" s="43"/>
      <c r="E26" s="43"/>
      <c r="F26" s="43"/>
      <c r="J26" s="43" t="s">
        <v>39</v>
      </c>
      <c r="K26" s="43"/>
      <c r="L26" s="43"/>
      <c r="M26" s="43"/>
      <c r="N26" s="43"/>
    </row>
    <row r="27" s="1" customFormat="1" ht="40" customHeight="1" spans="1:14">
      <c r="B27" s="310">
        <f>SUM(F12:F25)</f>
        <v>476610.7</v>
      </c>
      <c r="C27" s="310"/>
      <c r="D27" s="310"/>
      <c r="E27" s="37" t="s">
        <v>40</v>
      </c>
      <c r="F27" s="37"/>
      <c r="J27" s="310">
        <f>SUM(N12:N25)</f>
        <v>853071.48</v>
      </c>
      <c r="K27" s="310"/>
      <c r="L27" s="310"/>
      <c r="M27" s="37" t="s">
        <v>40</v>
      </c>
      <c r="N27" s="37"/>
    </row>
    <row r="28" customHeight="1" spans="1:14">
      <c r="L28" s="1"/>
    </row>
    <row r="29" customHeight="1" spans="1:14">
      <c r="A29" s="311" t="s">
        <v>41</v>
      </c>
      <c r="B29" s="312"/>
      <c r="C29" s="312"/>
      <c r="D29" s="312"/>
      <c r="E29" s="312"/>
      <c r="F29" s="312"/>
      <c r="G29" s="312"/>
      <c r="H29" s="312"/>
      <c r="I29" s="312"/>
      <c r="J29" s="312"/>
      <c r="K29" s="313"/>
      <c r="L29" s="1"/>
    </row>
    <row r="30" customHeight="1" spans="1:14">
      <c r="A30" s="13" t="s">
        <v>42</v>
      </c>
      <c r="B30" s="13" t="s">
        <v>43</v>
      </c>
      <c r="C30" s="13" t="s">
        <v>44</v>
      </c>
      <c r="D30" s="13" t="s">
        <v>16</v>
      </c>
      <c r="E30" s="13" t="s">
        <v>17</v>
      </c>
      <c r="F30" s="13" t="s">
        <v>18</v>
      </c>
      <c r="G30" s="13" t="s">
        <v>45</v>
      </c>
      <c r="H30" s="13" t="s">
        <v>46</v>
      </c>
      <c r="I30" s="13" t="s">
        <v>47</v>
      </c>
      <c r="J30" s="13" t="s">
        <v>48</v>
      </c>
      <c r="K30" s="13" t="s">
        <v>49</v>
      </c>
      <c r="L30" s="1"/>
    </row>
    <row r="31" customHeight="1" spans="1:14">
      <c r="A31" s="314">
        <v>1</v>
      </c>
      <c r="B31" s="315">
        <v>46045</v>
      </c>
      <c r="C31" s="314" t="s">
        <v>50</v>
      </c>
      <c r="D31" s="314">
        <v>36</v>
      </c>
      <c r="E31" s="314" t="s">
        <v>51</v>
      </c>
      <c r="F31" s="314" t="s">
        <v>52</v>
      </c>
      <c r="G31" s="314">
        <v>2</v>
      </c>
      <c r="H31" s="314" t="s">
        <v>53</v>
      </c>
      <c r="I31" s="314">
        <v>49</v>
      </c>
      <c r="J31" s="314">
        <v>60</v>
      </c>
      <c r="K31" s="316">
        <v>0</v>
      </c>
      <c r="L31" s="1"/>
    </row>
    <row r="32" customHeight="1" spans="1:14">
      <c r="A32" s="314">
        <v>2</v>
      </c>
      <c r="B32" s="315">
        <v>46045</v>
      </c>
      <c r="C32" s="314"/>
      <c r="D32" s="314">
        <v>35</v>
      </c>
      <c r="E32" s="314" t="s">
        <v>51</v>
      </c>
      <c r="F32" s="314" t="s">
        <v>54</v>
      </c>
      <c r="G32" s="314">
        <v>9</v>
      </c>
      <c r="H32" s="314" t="s">
        <v>53</v>
      </c>
      <c r="I32" s="314"/>
      <c r="J32" s="314"/>
      <c r="K32" s="316"/>
      <c r="L32" s="1"/>
    </row>
    <row r="33" customHeight="1" spans="1:39">
      <c r="A33" s="314">
        <v>3</v>
      </c>
      <c r="B33" s="315">
        <v>46056</v>
      </c>
      <c r="C33" s="314" t="s">
        <v>50</v>
      </c>
      <c r="D33" s="314">
        <v>35</v>
      </c>
      <c r="E33" s="314" t="s">
        <v>51</v>
      </c>
      <c r="F33" s="314" t="s">
        <v>54</v>
      </c>
      <c r="G33" s="314">
        <v>6</v>
      </c>
      <c r="H33" s="314" t="s">
        <v>53</v>
      </c>
      <c r="I33" s="314">
        <v>26</v>
      </c>
      <c r="J33" s="314">
        <v>1</v>
      </c>
      <c r="K33" s="316"/>
      <c r="L33" s="1"/>
    </row>
    <row r="34" customHeight="1" spans="1:39">
      <c r="A34" s="314"/>
      <c r="B34" s="315"/>
      <c r="C34" s="314"/>
      <c r="D34" s="314">
        <v>36</v>
      </c>
      <c r="E34" s="314" t="s">
        <v>51</v>
      </c>
      <c r="F34" s="314" t="s">
        <v>52</v>
      </c>
      <c r="G34" s="314">
        <v>1</v>
      </c>
      <c r="H34" s="314" t="s">
        <v>53</v>
      </c>
      <c r="I34" s="314"/>
      <c r="J34" s="314"/>
      <c r="K34" s="316"/>
      <c r="L34" s="1"/>
    </row>
    <row r="35" customHeight="1" spans="1:39">
      <c r="A35" s="314"/>
      <c r="B35" s="315"/>
      <c r="C35" s="314"/>
      <c r="D35" s="314">
        <v>35</v>
      </c>
      <c r="E35" s="314" t="s">
        <v>51</v>
      </c>
      <c r="F35" s="314" t="s">
        <v>54</v>
      </c>
      <c r="G35" s="314">
        <v>5</v>
      </c>
      <c r="H35" s="314" t="s">
        <v>53</v>
      </c>
      <c r="I35" s="314">
        <v>25</v>
      </c>
      <c r="J35" s="314">
        <v>0</v>
      </c>
      <c r="K35" s="316"/>
      <c r="L35" s="1"/>
    </row>
    <row r="36" customHeight="1" spans="1:39">
      <c r="A36" s="314"/>
      <c r="B36" s="315"/>
      <c r="C36" s="314"/>
      <c r="D36" s="314">
        <v>36</v>
      </c>
      <c r="E36" s="314" t="s">
        <v>51</v>
      </c>
      <c r="F36" s="314" t="s">
        <v>52</v>
      </c>
      <c r="G36" s="314">
        <v>1</v>
      </c>
      <c r="H36" s="314" t="s">
        <v>53</v>
      </c>
      <c r="I36" s="314"/>
      <c r="J36" s="314"/>
      <c r="K36" s="316"/>
      <c r="L36" s="1"/>
    </row>
    <row r="37" customHeight="1" spans="1:39">
      <c r="A37" s="314">
        <v>4</v>
      </c>
      <c r="B37" s="315">
        <v>46059</v>
      </c>
      <c r="C37" s="314" t="s">
        <v>50</v>
      </c>
      <c r="D37" s="314">
        <v>36</v>
      </c>
      <c r="E37" s="314" t="s">
        <v>51</v>
      </c>
      <c r="F37" s="314" t="s">
        <v>52</v>
      </c>
      <c r="G37" s="314">
        <v>1</v>
      </c>
      <c r="H37" s="314" t="s">
        <v>53</v>
      </c>
      <c r="I37" s="314">
        <v>26</v>
      </c>
      <c r="J37" s="314">
        <v>0</v>
      </c>
      <c r="K37" s="316"/>
    </row>
    <row r="38" s="1" customFormat="1" customHeight="1" spans="1:39">
      <c r="A38" s="314"/>
      <c r="B38" s="315"/>
      <c r="C38" s="314"/>
      <c r="D38" s="314">
        <v>35</v>
      </c>
      <c r="E38" s="314" t="s">
        <v>51</v>
      </c>
      <c r="F38" s="314" t="s">
        <v>54</v>
      </c>
      <c r="G38" s="314">
        <v>6</v>
      </c>
      <c r="H38" s="314" t="s">
        <v>53</v>
      </c>
      <c r="I38" s="314"/>
      <c r="J38" s="314"/>
      <c r="K38" s="316"/>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row>
    <row r="39" customHeight="1" spans="1:39">
      <c r="A39" s="314">
        <v>5</v>
      </c>
      <c r="B39" s="315">
        <v>46051</v>
      </c>
      <c r="C39" s="314" t="s">
        <v>55</v>
      </c>
      <c r="D39" s="314">
        <v>36</v>
      </c>
      <c r="E39" s="314" t="s">
        <v>51</v>
      </c>
      <c r="F39" s="314" t="s">
        <v>52</v>
      </c>
      <c r="G39" s="314">
        <v>2</v>
      </c>
      <c r="H39" s="314" t="s">
        <v>53</v>
      </c>
      <c r="I39" s="314">
        <v>49</v>
      </c>
      <c r="J39" s="314">
        <v>3</v>
      </c>
      <c r="K39" s="316"/>
    </row>
    <row r="40" customHeight="1" spans="1:39">
      <c r="A40" s="314">
        <v>6</v>
      </c>
      <c r="B40" s="315">
        <v>46051</v>
      </c>
      <c r="C40" s="314"/>
      <c r="D40" s="314">
        <v>35</v>
      </c>
      <c r="E40" s="314" t="s">
        <v>51</v>
      </c>
      <c r="F40" s="314" t="s">
        <v>54</v>
      </c>
      <c r="G40" s="314">
        <v>9</v>
      </c>
      <c r="H40" s="314" t="s">
        <v>53</v>
      </c>
      <c r="I40" s="314"/>
      <c r="J40" s="314"/>
      <c r="K40" s="316"/>
    </row>
    <row r="41" customHeight="1" spans="1:39">
      <c r="A41" s="314">
        <v>7</v>
      </c>
      <c r="B41" s="315">
        <v>46051</v>
      </c>
      <c r="C41" s="314" t="s">
        <v>56</v>
      </c>
      <c r="D41" s="314">
        <v>35</v>
      </c>
      <c r="E41" s="314" t="s">
        <v>51</v>
      </c>
      <c r="F41" s="314" t="s">
        <v>54</v>
      </c>
      <c r="G41" s="314">
        <v>1</v>
      </c>
      <c r="H41" s="314" t="s">
        <v>53</v>
      </c>
      <c r="I41" s="314">
        <v>1</v>
      </c>
      <c r="J41" s="314">
        <v>2</v>
      </c>
      <c r="K41" s="316"/>
    </row>
    <row r="42" customHeight="1" spans="1:39">
      <c r="A42" s="314">
        <v>8</v>
      </c>
      <c r="B42" s="315">
        <v>46051</v>
      </c>
      <c r="C42" s="314" t="s">
        <v>57</v>
      </c>
      <c r="D42" s="314">
        <v>35</v>
      </c>
      <c r="E42" s="314" t="s">
        <v>51</v>
      </c>
      <c r="F42" s="314" t="s">
        <v>54</v>
      </c>
      <c r="G42" s="314">
        <v>4</v>
      </c>
      <c r="H42" s="314" t="s">
        <v>53</v>
      </c>
      <c r="I42" s="314">
        <v>4</v>
      </c>
      <c r="J42" s="314">
        <v>3</v>
      </c>
      <c r="K42" s="316"/>
    </row>
    <row r="43" customHeight="1" spans="1:39">
      <c r="A43" s="314">
        <v>9</v>
      </c>
      <c r="B43" s="315">
        <v>46058</v>
      </c>
      <c r="C43" s="314" t="s">
        <v>57</v>
      </c>
      <c r="D43" s="314">
        <v>35</v>
      </c>
      <c r="E43" s="314" t="s">
        <v>51</v>
      </c>
      <c r="F43" s="314" t="s">
        <v>54</v>
      </c>
      <c r="G43" s="314">
        <v>17</v>
      </c>
      <c r="H43" s="314" t="s">
        <v>53</v>
      </c>
      <c r="I43" s="314">
        <v>17</v>
      </c>
      <c r="J43" s="314">
        <v>0</v>
      </c>
      <c r="K43" s="316"/>
    </row>
    <row r="44" customHeight="1" spans="1:39">
      <c r="A44" s="317">
        <v>10</v>
      </c>
      <c r="B44" s="318">
        <v>46051</v>
      </c>
      <c r="C44" s="317" t="s">
        <v>58</v>
      </c>
      <c r="D44" s="317">
        <v>36</v>
      </c>
      <c r="E44" s="317" t="s">
        <v>51</v>
      </c>
      <c r="F44" s="317" t="s">
        <v>52</v>
      </c>
      <c r="G44" s="317">
        <v>1</v>
      </c>
      <c r="H44" s="317" t="s">
        <v>53</v>
      </c>
      <c r="I44" s="317">
        <v>18</v>
      </c>
      <c r="J44" s="317">
        <v>4</v>
      </c>
      <c r="K44" s="316"/>
    </row>
    <row r="45" customHeight="1" spans="1:39">
      <c r="A45" s="317">
        <v>11</v>
      </c>
      <c r="B45" s="318">
        <v>46051</v>
      </c>
      <c r="C45" s="317"/>
      <c r="D45" s="317">
        <v>35</v>
      </c>
      <c r="E45" s="317" t="s">
        <v>51</v>
      </c>
      <c r="F45" s="317" t="s">
        <v>54</v>
      </c>
      <c r="G45" s="317">
        <v>10</v>
      </c>
      <c r="H45" s="317" t="s">
        <v>53</v>
      </c>
      <c r="I45" s="317"/>
      <c r="J45" s="317"/>
      <c r="K45" s="316"/>
    </row>
    <row r="46" customHeight="1" spans="1:39">
      <c r="A46" s="314">
        <v>12</v>
      </c>
      <c r="B46" s="315">
        <v>46052</v>
      </c>
      <c r="C46" s="314" t="s">
        <v>59</v>
      </c>
      <c r="D46" s="314">
        <v>35</v>
      </c>
      <c r="E46" s="314" t="s">
        <v>51</v>
      </c>
      <c r="F46" s="314" t="s">
        <v>54</v>
      </c>
      <c r="G46" s="314">
        <v>2</v>
      </c>
      <c r="H46" s="314" t="s">
        <v>53</v>
      </c>
      <c r="I46" s="314">
        <v>2</v>
      </c>
      <c r="J46" s="314">
        <v>3</v>
      </c>
      <c r="K46" s="316"/>
    </row>
    <row r="47" customHeight="1" spans="1:39">
      <c r="A47" s="314">
        <v>13</v>
      </c>
      <c r="B47" s="315">
        <v>46052</v>
      </c>
      <c r="C47" s="314" t="s">
        <v>60</v>
      </c>
      <c r="D47" s="314">
        <v>35</v>
      </c>
      <c r="E47" s="314" t="s">
        <v>51</v>
      </c>
      <c r="F47" s="314" t="s">
        <v>54</v>
      </c>
      <c r="G47" s="314">
        <v>1</v>
      </c>
      <c r="H47" s="314" t="s">
        <v>53</v>
      </c>
      <c r="I47" s="314">
        <v>1</v>
      </c>
      <c r="J47" s="314">
        <v>1</v>
      </c>
      <c r="K47" s="316"/>
    </row>
    <row r="48" customHeight="1" spans="1:39">
      <c r="A48" s="314">
        <v>14</v>
      </c>
      <c r="B48" s="315">
        <v>46057</v>
      </c>
      <c r="C48" s="314" t="s">
        <v>61</v>
      </c>
      <c r="D48" s="314">
        <v>35</v>
      </c>
      <c r="E48" s="314" t="s">
        <v>51</v>
      </c>
      <c r="F48" s="314" t="s">
        <v>54</v>
      </c>
      <c r="G48" s="314">
        <v>9</v>
      </c>
      <c r="H48" s="314" t="s">
        <v>53</v>
      </c>
      <c r="I48" s="314">
        <v>9</v>
      </c>
      <c r="J48" s="314">
        <v>3</v>
      </c>
      <c r="K48" s="316"/>
    </row>
    <row r="49" s="1" customFormat="1" customHeight="1" spans="1:39">
      <c r="A49" s="314"/>
      <c r="B49" s="315">
        <v>46087</v>
      </c>
      <c r="C49" s="314" t="s">
        <v>62</v>
      </c>
      <c r="D49" s="314">
        <v>35</v>
      </c>
      <c r="E49" s="314" t="s">
        <v>51</v>
      </c>
      <c r="F49" s="314" t="s">
        <v>54</v>
      </c>
      <c r="G49" s="314">
        <v>6</v>
      </c>
      <c r="H49" s="314" t="s">
        <v>53</v>
      </c>
      <c r="I49" s="314">
        <v>6</v>
      </c>
      <c r="J49" s="314">
        <v>1</v>
      </c>
      <c r="K49" s="316"/>
    </row>
    <row r="50" s="1" customFormat="1" customHeight="1" spans="1:39">
      <c r="A50" s="314"/>
      <c r="B50" s="315">
        <v>46099</v>
      </c>
      <c r="C50" s="314" t="s">
        <v>50</v>
      </c>
      <c r="D50" s="314">
        <v>35</v>
      </c>
      <c r="E50" s="314" t="s">
        <v>51</v>
      </c>
      <c r="F50" s="314" t="s">
        <v>54</v>
      </c>
      <c r="G50" s="314">
        <v>6</v>
      </c>
      <c r="H50" s="314" t="s">
        <v>53</v>
      </c>
      <c r="I50" s="314">
        <v>6</v>
      </c>
      <c r="J50" s="314">
        <v>6</v>
      </c>
      <c r="K50" s="316"/>
    </row>
    <row r="51" s="1" customFormat="1" customHeight="1" spans="1:39">
      <c r="A51" s="319"/>
      <c r="B51" s="320">
        <v>46111</v>
      </c>
      <c r="C51" s="314" t="s">
        <v>50</v>
      </c>
      <c r="D51" s="314">
        <v>35</v>
      </c>
      <c r="E51" s="314" t="s">
        <v>51</v>
      </c>
      <c r="F51" s="314" t="s">
        <v>54</v>
      </c>
      <c r="G51" s="314">
        <v>11</v>
      </c>
      <c r="H51" s="314" t="s">
        <v>53</v>
      </c>
      <c r="I51" s="319">
        <v>31</v>
      </c>
      <c r="J51" s="314"/>
      <c r="K51" s="316"/>
    </row>
    <row r="52" s="1" customFormat="1" customHeight="1" spans="1:39">
      <c r="A52" s="321"/>
      <c r="B52" s="321"/>
      <c r="C52" s="321"/>
      <c r="D52" s="314">
        <v>36</v>
      </c>
      <c r="E52" s="314" t="s">
        <v>51</v>
      </c>
      <c r="F52" s="314" t="s">
        <v>52</v>
      </c>
      <c r="G52" s="314">
        <v>1</v>
      </c>
      <c r="H52" s="314" t="s">
        <v>53</v>
      </c>
      <c r="I52" s="321"/>
      <c r="J52" s="314"/>
      <c r="K52" s="316"/>
    </row>
    <row r="53" s="1" customFormat="1" customHeight="1" spans="1:39">
      <c r="A53" s="314"/>
      <c r="B53" s="322">
        <v>46113</v>
      </c>
      <c r="C53" s="314" t="s">
        <v>50</v>
      </c>
      <c r="D53" s="314">
        <v>35</v>
      </c>
      <c r="E53" s="314" t="s">
        <v>51</v>
      </c>
      <c r="F53" s="314" t="s">
        <v>54</v>
      </c>
      <c r="G53" s="314">
        <v>12</v>
      </c>
      <c r="H53" s="314" t="s">
        <v>53</v>
      </c>
      <c r="I53" s="314">
        <v>12</v>
      </c>
      <c r="J53" s="314"/>
      <c r="K53" s="316"/>
    </row>
    <row r="54" s="1" customFormat="1" customHeight="1" spans="1:39">
      <c r="A54" s="314"/>
      <c r="B54" s="322">
        <v>46120</v>
      </c>
      <c r="C54" s="314" t="s">
        <v>50</v>
      </c>
      <c r="D54" s="314">
        <v>35</v>
      </c>
      <c r="E54" s="314" t="s">
        <v>51</v>
      </c>
      <c r="F54" s="314" t="s">
        <v>54</v>
      </c>
      <c r="G54" s="314">
        <v>6</v>
      </c>
      <c r="H54" s="314" t="s">
        <v>53</v>
      </c>
      <c r="I54" s="314">
        <v>6</v>
      </c>
      <c r="J54" s="314"/>
      <c r="K54" s="316"/>
    </row>
    <row r="55" s="1" customFormat="1" customHeight="1" spans="1:39">
      <c r="A55" s="314"/>
      <c r="B55" s="322">
        <v>46126</v>
      </c>
      <c r="C55" s="314" t="s">
        <v>50</v>
      </c>
      <c r="D55" s="314">
        <v>35</v>
      </c>
      <c r="E55" s="314" t="s">
        <v>51</v>
      </c>
      <c r="F55" s="314" t="s">
        <v>54</v>
      </c>
      <c r="G55" s="314">
        <v>2</v>
      </c>
      <c r="H55" s="314" t="s">
        <v>53</v>
      </c>
      <c r="I55" s="314">
        <v>2</v>
      </c>
      <c r="J55" s="314"/>
      <c r="K55" s="316"/>
    </row>
    <row r="56" s="1" customFormat="1" customHeight="1" spans="1:39">
      <c r="A56" s="323" t="s">
        <v>63</v>
      </c>
      <c r="B56" s="323"/>
      <c r="C56" s="323"/>
      <c r="D56" s="323"/>
      <c r="E56" s="323"/>
      <c r="F56" s="323"/>
      <c r="G56" s="323"/>
      <c r="H56" s="323"/>
      <c r="I56" s="323"/>
      <c r="J56" s="323"/>
      <c r="K56" s="316">
        <v>0</v>
      </c>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row>
    <row r="57" s="1" customFormat="1" customHeight="1" spans="1:39">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row>
    <row r="58" s="1" customFormat="1" customHeight="1" spans="1:39">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row>
    <row r="59" s="1" customFormat="1" customHeight="1" spans="1:39">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row>
    <row r="60" s="1" customFormat="1" customHeight="1" spans="1:39">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row>
    <row r="61" customHeight="1" spans="1:39">
      <c r="A61" s="1"/>
      <c r="B61" s="1"/>
      <c r="C61" s="1"/>
      <c r="D61" s="1"/>
      <c r="E61" s="1"/>
      <c r="F61" s="1"/>
      <c r="G61" s="1"/>
      <c r="H61" s="1"/>
      <c r="I61" s="1"/>
      <c r="J61" s="1"/>
      <c r="K61" s="1"/>
      <c r="L61" s="1"/>
    </row>
    <row r="62" customHeight="1" spans="1:39">
      <c r="A62" s="1"/>
      <c r="B62" s="1"/>
      <c r="C62" s="1"/>
      <c r="D62" s="1"/>
      <c r="E62" s="1"/>
      <c r="F62" s="1"/>
      <c r="G62" s="1"/>
      <c r="H62" s="1"/>
      <c r="I62" s="1"/>
      <c r="J62" s="1"/>
      <c r="K62" s="1"/>
      <c r="L62" s="1"/>
    </row>
    <row r="63" customHeight="1" spans="1:39">
      <c r="A63" s="1"/>
      <c r="B63" s="1"/>
      <c r="C63" s="1"/>
      <c r="D63" s="1"/>
      <c r="E63" s="1"/>
      <c r="F63" s="1"/>
      <c r="G63" s="1"/>
      <c r="H63" s="1"/>
      <c r="I63" s="1"/>
      <c r="J63" s="1"/>
      <c r="K63" s="1"/>
      <c r="L63" s="1"/>
    </row>
    <row r="64" customHeight="1" spans="1:39">
      <c r="A64" s="1"/>
      <c r="B64" s="1"/>
      <c r="C64" s="1"/>
      <c r="D64" s="1"/>
      <c r="E64" s="1"/>
      <c r="F64" s="1"/>
      <c r="G64" s="1"/>
      <c r="H64" s="1"/>
      <c r="I64" s="1"/>
      <c r="J64" s="1"/>
      <c r="K64" s="1"/>
      <c r="L64" s="1"/>
    </row>
    <row r="65" customHeight="1" spans="1:12">
      <c r="A65" s="1"/>
      <c r="B65" s="1"/>
      <c r="C65" s="1"/>
      <c r="D65" s="1"/>
      <c r="E65" s="1"/>
      <c r="F65" s="1"/>
      <c r="G65" s="1"/>
      <c r="H65" s="1"/>
      <c r="I65" s="1"/>
      <c r="J65" s="1"/>
      <c r="K65" s="1"/>
      <c r="L65" s="1"/>
    </row>
    <row r="66" customHeight="1" spans="1:12">
      <c r="A66" s="1"/>
      <c r="B66" s="1"/>
      <c r="C66" s="1"/>
      <c r="D66" s="1"/>
      <c r="E66" s="1"/>
      <c r="F66" s="1"/>
      <c r="G66" s="1"/>
      <c r="H66" s="1"/>
      <c r="I66" s="1"/>
      <c r="J66" s="1"/>
      <c r="K66" s="1"/>
      <c r="L66" s="1"/>
    </row>
    <row r="67" customHeight="1" spans="1:12">
      <c r="A67" s="1"/>
      <c r="B67" s="1"/>
      <c r="C67" s="1"/>
      <c r="D67" s="1"/>
      <c r="E67" s="1"/>
      <c r="F67" s="1"/>
      <c r="G67" s="1"/>
      <c r="H67" s="1"/>
      <c r="I67" s="1"/>
      <c r="J67" s="1"/>
      <c r="K67" s="1"/>
      <c r="L67" s="1"/>
    </row>
    <row r="68" customHeight="1" spans="1:12">
      <c r="A68" s="1"/>
      <c r="B68" s="1"/>
      <c r="C68" s="1"/>
      <c r="D68" s="1"/>
      <c r="E68" s="1"/>
      <c r="F68" s="1"/>
      <c r="G68" s="1"/>
      <c r="H68" s="1"/>
      <c r="I68" s="1"/>
      <c r="J68" s="1"/>
      <c r="K68" s="1"/>
      <c r="L68" s="1"/>
    </row>
    <row r="69" customHeight="1" spans="1:12">
      <c r="A69" s="1"/>
      <c r="B69" s="1"/>
      <c r="C69" s="1"/>
      <c r="D69" s="1"/>
      <c r="E69" s="1"/>
      <c r="F69" s="1"/>
      <c r="G69" s="1"/>
      <c r="H69" s="1"/>
      <c r="I69" s="1"/>
      <c r="J69" s="1"/>
      <c r="K69" s="1"/>
      <c r="L69" s="1"/>
    </row>
    <row r="70" customHeight="1" spans="1:12">
      <c r="A70" s="1"/>
      <c r="B70" s="1"/>
      <c r="C70" s="1"/>
      <c r="D70" s="1"/>
      <c r="E70" s="1"/>
      <c r="F70" s="1"/>
      <c r="G70" s="1"/>
      <c r="H70" s="1"/>
      <c r="I70" s="1"/>
      <c r="J70" s="1"/>
      <c r="K70" s="1"/>
      <c r="L70" s="1"/>
    </row>
    <row r="71" customHeight="1" spans="1:12">
      <c r="A71" s="1"/>
      <c r="B71" s="1"/>
      <c r="C71" s="1"/>
      <c r="D71" s="1"/>
      <c r="E71" s="1"/>
      <c r="F71" s="1"/>
      <c r="G71" s="1"/>
      <c r="H71" s="1"/>
      <c r="I71" s="1"/>
      <c r="J71" s="1"/>
      <c r="K71" s="1"/>
      <c r="L71" s="1"/>
    </row>
  </sheetData>
  <mergeCells count="44">
    <mergeCell ref="B1:E1"/>
    <mergeCell ref="C2:E2"/>
    <mergeCell ref="C3:E3"/>
    <mergeCell ref="C4:E4"/>
    <mergeCell ref="C5:E5"/>
    <mergeCell ref="C6:E6"/>
    <mergeCell ref="C7:E7"/>
    <mergeCell ref="C8:E8"/>
    <mergeCell ref="B10:F10"/>
    <mergeCell ref="J10:N10"/>
    <mergeCell ref="B26:F26"/>
    <mergeCell ref="J26:N26"/>
    <mergeCell ref="B27:D27"/>
    <mergeCell ref="E27:F27"/>
    <mergeCell ref="J27:L27"/>
    <mergeCell ref="M27:N27"/>
    <mergeCell ref="A29:K29"/>
    <mergeCell ref="A56:H56"/>
    <mergeCell ref="A33:A36"/>
    <mergeCell ref="A37:A38"/>
    <mergeCell ref="A51:A52"/>
    <mergeCell ref="B33:B36"/>
    <mergeCell ref="B37:B38"/>
    <mergeCell ref="B51:B52"/>
    <mergeCell ref="C31:C32"/>
    <mergeCell ref="C33:C36"/>
    <mergeCell ref="C37:C38"/>
    <mergeCell ref="C39:C40"/>
    <mergeCell ref="C44:C45"/>
    <mergeCell ref="C51:C52"/>
    <mergeCell ref="I31:I32"/>
    <mergeCell ref="I33:I34"/>
    <mergeCell ref="I35:I36"/>
    <mergeCell ref="I37:I38"/>
    <mergeCell ref="I39:I40"/>
    <mergeCell ref="I44:I45"/>
    <mergeCell ref="I51:I52"/>
    <mergeCell ref="J31:J32"/>
    <mergeCell ref="J33:J34"/>
    <mergeCell ref="J35:J36"/>
    <mergeCell ref="J37:J38"/>
    <mergeCell ref="J39:J40"/>
    <mergeCell ref="J44:J45"/>
    <mergeCell ref="K31:K48"/>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O139"/>
  <sheetViews>
    <sheetView zoomScale="55" zoomScaleNormal="55" topLeftCell="A53" workbookViewId="0">
      <selection activeCell="G70" sqref="G70"/>
    </sheetView>
  </sheetViews>
  <sheetFormatPr defaultColWidth="21.5" defaultRowHeight="31" customHeight="1"/>
  <cols>
    <col min="1" max="1" width="13" style="58" customWidth="1"/>
    <col min="2" max="2" width="13.3359375" style="58" customWidth="1"/>
    <col min="3" max="3" width="21.1640625" style="58" customWidth="1"/>
    <col min="4" max="4" width="10.828125" style="58" customWidth="1"/>
    <col min="5" max="5" width="16.3359375" style="58" customWidth="1"/>
    <col min="6" max="6" width="9.8359375" style="58" customWidth="1"/>
    <col min="7" max="12" width="15.8359375" style="58" customWidth="1"/>
    <col min="13" max="13" width="20.6640625" style="58" customWidth="1"/>
    <col min="14" max="14" width="16.1640625" style="58" customWidth="1"/>
    <col min="15" max="15" width="25.171875" style="1" customWidth="1"/>
    <col min="16" max="41" width="21.5" style="1" customWidth="1"/>
    <col min="42" max="16384" width="21.5" style="279"/>
  </cols>
  <sheetData>
    <row r="1" s="21" customFormat="1" ht="34" customHeight="1" spans="1:41">
      <c r="A1" s="197" t="s">
        <v>64</v>
      </c>
      <c r="B1" s="198"/>
      <c r="C1" s="198"/>
      <c r="D1" s="198"/>
      <c r="E1" s="198"/>
      <c r="F1" s="198"/>
      <c r="G1" s="198"/>
      <c r="H1" s="198"/>
      <c r="I1" s="198"/>
      <c r="J1" s="198"/>
      <c r="K1" s="198"/>
      <c r="L1" s="198"/>
      <c r="M1" s="198"/>
      <c r="N1" s="198"/>
      <c r="O1" s="198"/>
      <c r="P1" s="199"/>
    </row>
    <row r="2" s="21" customFormat="1" ht="34" customHeight="1" spans="1:41">
      <c r="A2" s="25" t="s">
        <v>16</v>
      </c>
      <c r="B2" s="25" t="s">
        <v>17</v>
      </c>
      <c r="C2" s="25" t="s">
        <v>18</v>
      </c>
      <c r="D2" s="25" t="s">
        <v>65</v>
      </c>
      <c r="E2" s="25" t="s">
        <v>46</v>
      </c>
      <c r="F2" s="25" t="s">
        <v>66</v>
      </c>
      <c r="G2" s="25" t="s">
        <v>67</v>
      </c>
      <c r="H2" s="25" t="s">
        <v>43</v>
      </c>
      <c r="I2" s="25" t="s">
        <v>68</v>
      </c>
      <c r="J2" s="25" t="s">
        <v>69</v>
      </c>
      <c r="K2" s="25" t="s">
        <v>70</v>
      </c>
      <c r="L2" s="25" t="s">
        <v>71</v>
      </c>
      <c r="M2" s="26" t="s">
        <v>72</v>
      </c>
      <c r="N2" s="26" t="s">
        <v>73</v>
      </c>
      <c r="O2" s="25" t="s">
        <v>74</v>
      </c>
      <c r="P2" s="25" t="s">
        <v>75</v>
      </c>
    </row>
    <row r="3" s="279" customFormat="1" customHeight="1" spans="1:41">
      <c r="A3" s="27">
        <v>36</v>
      </c>
      <c r="B3" s="27" t="s">
        <v>51</v>
      </c>
      <c r="C3" s="27" t="s">
        <v>52</v>
      </c>
      <c r="D3" s="29">
        <v>1</v>
      </c>
      <c r="E3" s="29" t="s">
        <v>53</v>
      </c>
      <c r="F3" s="29">
        <v>25.62</v>
      </c>
      <c r="G3" s="29" t="s">
        <v>76</v>
      </c>
      <c r="H3" s="42">
        <v>46051</v>
      </c>
      <c r="I3" s="42"/>
      <c r="J3" s="42">
        <f>H3+90</f>
        <v>46141</v>
      </c>
      <c r="K3" s="42">
        <v>46113</v>
      </c>
      <c r="L3" s="47">
        <v>46142</v>
      </c>
      <c r="M3" s="32">
        <v>30</v>
      </c>
      <c r="N3" s="32">
        <f>M3*F3*D3</f>
        <v>768.6</v>
      </c>
      <c r="O3" s="29">
        <f>L3-J3+1</f>
        <v>2</v>
      </c>
      <c r="P3" s="33">
        <f>O3*F3*D3</f>
        <v>51.24</v>
      </c>
      <c r="Q3" s="1"/>
      <c r="R3" s="1"/>
      <c r="S3" s="1"/>
      <c r="T3" s="1"/>
      <c r="U3" s="1"/>
      <c r="V3" s="1"/>
      <c r="W3" s="1"/>
      <c r="X3" s="1"/>
      <c r="Y3" s="1"/>
      <c r="Z3" s="1"/>
      <c r="AA3" s="1"/>
      <c r="AB3" s="1"/>
      <c r="AC3" s="1"/>
      <c r="AD3" s="1"/>
      <c r="AE3" s="1"/>
      <c r="AF3" s="1"/>
      <c r="AG3" s="1"/>
      <c r="AH3" s="1"/>
      <c r="AI3" s="1"/>
      <c r="AJ3" s="1"/>
      <c r="AK3" s="1"/>
      <c r="AL3" s="1"/>
      <c r="AM3" s="1"/>
      <c r="AN3" s="1"/>
      <c r="AO3" s="1"/>
    </row>
    <row r="4" s="279" customFormat="1" customHeight="1" spans="1:41">
      <c r="A4" s="280"/>
      <c r="B4" s="280"/>
      <c r="C4" s="280"/>
      <c r="D4" s="29"/>
      <c r="E4" s="29"/>
      <c r="F4" s="29"/>
      <c r="G4" s="281" t="s">
        <v>77</v>
      </c>
      <c r="H4" s="282">
        <v>46051</v>
      </c>
      <c r="I4" s="282">
        <v>46119</v>
      </c>
      <c r="J4" s="47"/>
      <c r="K4" s="47"/>
      <c r="L4" s="47"/>
      <c r="M4" s="32"/>
      <c r="N4" s="32"/>
      <c r="O4" s="29"/>
      <c r="P4" s="33"/>
      <c r="Q4" s="1"/>
      <c r="R4" s="1"/>
      <c r="S4" s="1"/>
      <c r="T4" s="1"/>
      <c r="U4" s="1"/>
      <c r="V4" s="1"/>
      <c r="W4" s="1"/>
      <c r="X4" s="1"/>
      <c r="Y4" s="1"/>
      <c r="Z4" s="1"/>
      <c r="AA4" s="1"/>
      <c r="AB4" s="1"/>
      <c r="AC4" s="1"/>
      <c r="AD4" s="1"/>
      <c r="AE4" s="1"/>
      <c r="AF4" s="1"/>
      <c r="AG4" s="1"/>
      <c r="AH4" s="1"/>
      <c r="AI4" s="1"/>
      <c r="AJ4" s="1"/>
      <c r="AK4" s="1"/>
      <c r="AL4" s="1"/>
      <c r="AM4" s="1"/>
      <c r="AN4" s="1"/>
      <c r="AO4" s="1"/>
    </row>
    <row r="5" s="279" customFormat="1" customHeight="1" spans="1:41">
      <c r="A5" s="280"/>
      <c r="B5" s="280"/>
      <c r="C5" s="280"/>
      <c r="D5" s="29"/>
      <c r="E5" s="29"/>
      <c r="F5" s="29"/>
      <c r="G5" s="29" t="s">
        <v>78</v>
      </c>
      <c r="H5" s="42">
        <v>46051</v>
      </c>
      <c r="I5" s="42"/>
      <c r="J5" s="42"/>
      <c r="K5" s="42"/>
      <c r="L5" s="47"/>
      <c r="M5" s="32"/>
      <c r="N5" s="32"/>
      <c r="O5" s="29"/>
      <c r="P5" s="33"/>
      <c r="Q5" s="1"/>
      <c r="R5" s="1"/>
      <c r="S5" s="1"/>
      <c r="T5" s="1"/>
      <c r="U5" s="1"/>
      <c r="V5" s="1"/>
      <c r="W5" s="1"/>
      <c r="X5" s="1"/>
      <c r="Y5" s="1"/>
      <c r="Z5" s="1"/>
      <c r="AA5" s="1"/>
      <c r="AB5" s="1"/>
      <c r="AC5" s="1"/>
      <c r="AD5" s="1"/>
      <c r="AE5" s="1"/>
      <c r="AF5" s="1"/>
      <c r="AG5" s="1"/>
      <c r="AH5" s="1"/>
      <c r="AI5" s="1"/>
      <c r="AJ5" s="1"/>
      <c r="AK5" s="1"/>
      <c r="AL5" s="1"/>
      <c r="AM5" s="1"/>
      <c r="AN5" s="1"/>
      <c r="AO5" s="1"/>
    </row>
    <row r="6" s="279" customFormat="1" customHeight="1" spans="1:41">
      <c r="A6" s="280"/>
      <c r="B6" s="280"/>
      <c r="C6" s="280"/>
      <c r="D6" s="29"/>
      <c r="E6" s="29"/>
      <c r="F6" s="29"/>
      <c r="G6" s="29" t="s">
        <v>79</v>
      </c>
      <c r="H6" s="42">
        <v>46051</v>
      </c>
      <c r="I6" s="42"/>
      <c r="J6" s="42"/>
      <c r="K6" s="42"/>
      <c r="L6" s="47"/>
      <c r="M6" s="32"/>
      <c r="N6" s="32"/>
      <c r="O6" s="29"/>
      <c r="P6" s="33"/>
      <c r="Q6" s="1"/>
      <c r="R6" s="1"/>
      <c r="S6" s="1"/>
      <c r="T6" s="1"/>
      <c r="U6" s="1"/>
      <c r="V6" s="1"/>
      <c r="W6" s="1"/>
      <c r="X6" s="1"/>
      <c r="Y6" s="1"/>
      <c r="Z6" s="1"/>
      <c r="AA6" s="1"/>
      <c r="AB6" s="1"/>
      <c r="AC6" s="1"/>
      <c r="AD6" s="1"/>
      <c r="AE6" s="1"/>
      <c r="AF6" s="1"/>
      <c r="AG6" s="1"/>
      <c r="AH6" s="1"/>
      <c r="AI6" s="1"/>
      <c r="AJ6" s="1"/>
      <c r="AK6" s="1"/>
      <c r="AL6" s="1"/>
      <c r="AM6" s="1"/>
      <c r="AN6" s="1"/>
      <c r="AO6" s="1"/>
    </row>
    <row r="7" s="279" customFormat="1" customHeight="1" spans="1:41">
      <c r="A7" s="280"/>
      <c r="B7" s="280"/>
      <c r="C7" s="280"/>
      <c r="D7" s="29"/>
      <c r="E7" s="29"/>
      <c r="F7" s="29"/>
      <c r="G7" s="29" t="s">
        <v>80</v>
      </c>
      <c r="H7" s="42">
        <v>46051</v>
      </c>
      <c r="I7" s="42"/>
      <c r="J7" s="42"/>
      <c r="K7" s="42"/>
      <c r="L7" s="47"/>
      <c r="M7" s="32"/>
      <c r="N7" s="32"/>
      <c r="O7" s="29"/>
      <c r="P7" s="33"/>
      <c r="Q7" s="1"/>
      <c r="R7" s="1"/>
      <c r="S7" s="1"/>
      <c r="T7" s="1"/>
      <c r="U7" s="1"/>
      <c r="V7" s="1"/>
      <c r="W7" s="1"/>
      <c r="X7" s="1"/>
      <c r="Y7" s="1"/>
      <c r="Z7" s="1"/>
      <c r="AA7" s="1"/>
      <c r="AB7" s="1"/>
      <c r="AC7" s="1"/>
      <c r="AD7" s="1"/>
      <c r="AE7" s="1"/>
      <c r="AF7" s="1"/>
      <c r="AG7" s="1"/>
      <c r="AH7" s="1"/>
      <c r="AI7" s="1"/>
      <c r="AJ7" s="1"/>
      <c r="AK7" s="1"/>
      <c r="AL7" s="1"/>
      <c r="AM7" s="1"/>
      <c r="AN7" s="1"/>
      <c r="AO7" s="1"/>
    </row>
    <row r="8" s="279" customFormat="1" customHeight="1" spans="1:41">
      <c r="A8" s="280"/>
      <c r="B8" s="280"/>
      <c r="C8" s="280"/>
      <c r="D8" s="29"/>
      <c r="E8" s="29"/>
      <c r="F8" s="29"/>
      <c r="G8" s="29" t="s">
        <v>81</v>
      </c>
      <c r="H8" s="42">
        <v>46051</v>
      </c>
      <c r="I8" s="42"/>
      <c r="J8" s="42"/>
      <c r="K8" s="42"/>
      <c r="L8" s="47"/>
      <c r="M8" s="32"/>
      <c r="N8" s="32"/>
      <c r="O8" s="29"/>
      <c r="P8" s="33"/>
      <c r="Q8" s="1"/>
      <c r="R8" s="1"/>
      <c r="S8" s="1"/>
      <c r="T8" s="1"/>
      <c r="U8" s="1"/>
      <c r="V8" s="1"/>
      <c r="W8" s="1"/>
      <c r="X8" s="1"/>
      <c r="Y8" s="1"/>
      <c r="Z8" s="1"/>
      <c r="AA8" s="1"/>
      <c r="AB8" s="1"/>
      <c r="AC8" s="1"/>
      <c r="AD8" s="1"/>
      <c r="AE8" s="1"/>
      <c r="AF8" s="1"/>
      <c r="AG8" s="1"/>
      <c r="AH8" s="1"/>
      <c r="AI8" s="1"/>
      <c r="AJ8" s="1"/>
      <c r="AK8" s="1"/>
      <c r="AL8" s="1"/>
      <c r="AM8" s="1"/>
      <c r="AN8" s="1"/>
      <c r="AO8" s="1"/>
    </row>
    <row r="9" s="279" customFormat="1" customHeight="1" spans="1:41">
      <c r="A9" s="280"/>
      <c r="B9" s="280"/>
      <c r="C9" s="280"/>
      <c r="D9" s="29"/>
      <c r="E9" s="29"/>
      <c r="F9" s="29"/>
      <c r="G9" s="29" t="s">
        <v>82</v>
      </c>
      <c r="H9" s="42">
        <v>46051</v>
      </c>
      <c r="I9" s="42"/>
      <c r="J9" s="42"/>
      <c r="K9" s="42"/>
      <c r="L9" s="47"/>
      <c r="M9" s="32"/>
      <c r="N9" s="32"/>
      <c r="O9" s="29"/>
      <c r="P9" s="33"/>
      <c r="Q9" s="1"/>
      <c r="R9" s="1"/>
      <c r="S9" s="1"/>
      <c r="T9" s="1"/>
      <c r="U9" s="1"/>
      <c r="V9" s="1"/>
      <c r="W9" s="1"/>
      <c r="X9" s="1"/>
      <c r="Y9" s="1"/>
      <c r="Z9" s="1"/>
      <c r="AA9" s="1"/>
      <c r="AB9" s="1"/>
      <c r="AC9" s="1"/>
      <c r="AD9" s="1"/>
      <c r="AE9" s="1"/>
      <c r="AF9" s="1"/>
      <c r="AG9" s="1"/>
      <c r="AH9" s="1"/>
      <c r="AI9" s="1"/>
      <c r="AJ9" s="1"/>
      <c r="AK9" s="1"/>
      <c r="AL9" s="1"/>
      <c r="AM9" s="1"/>
      <c r="AN9" s="1"/>
      <c r="AO9" s="1"/>
    </row>
    <row r="10" s="279" customFormat="1" customHeight="1" spans="1:41">
      <c r="A10" s="280"/>
      <c r="B10" s="280"/>
      <c r="C10" s="280"/>
      <c r="D10" s="29"/>
      <c r="E10" s="29"/>
      <c r="F10" s="29"/>
      <c r="G10" s="29" t="s">
        <v>83</v>
      </c>
      <c r="H10" s="42">
        <v>46051</v>
      </c>
      <c r="I10" s="42"/>
      <c r="J10" s="42"/>
      <c r="K10" s="42"/>
      <c r="L10" s="47"/>
      <c r="M10" s="32"/>
      <c r="N10" s="32"/>
      <c r="O10" s="29"/>
      <c r="P10" s="33"/>
      <c r="Q10" s="1"/>
      <c r="R10" s="1"/>
      <c r="S10" s="1"/>
      <c r="T10" s="1"/>
      <c r="U10" s="1"/>
      <c r="V10" s="1"/>
      <c r="W10" s="1"/>
      <c r="X10" s="1"/>
      <c r="Y10" s="1"/>
      <c r="Z10" s="1"/>
      <c r="AA10" s="1"/>
      <c r="AB10" s="1"/>
      <c r="AC10" s="1"/>
      <c r="AD10" s="1"/>
      <c r="AE10" s="1"/>
      <c r="AF10" s="1"/>
      <c r="AG10" s="1"/>
      <c r="AH10" s="1"/>
      <c r="AI10" s="1"/>
      <c r="AJ10" s="1"/>
      <c r="AK10" s="1"/>
      <c r="AL10" s="1"/>
      <c r="AM10" s="1"/>
      <c r="AN10" s="1"/>
      <c r="AO10" s="1"/>
    </row>
    <row r="11" s="279" customFormat="1" customHeight="1" spans="1:41">
      <c r="A11" s="280"/>
      <c r="B11" s="280"/>
      <c r="C11" s="280"/>
      <c r="D11" s="29"/>
      <c r="E11" s="29"/>
      <c r="F11" s="29"/>
      <c r="G11" s="29" t="s">
        <v>84</v>
      </c>
      <c r="H11" s="42">
        <v>46051</v>
      </c>
      <c r="I11" s="42"/>
      <c r="J11" s="42"/>
      <c r="K11" s="42"/>
      <c r="L11" s="47"/>
      <c r="M11" s="32"/>
      <c r="N11" s="32"/>
      <c r="O11" s="29"/>
      <c r="P11" s="33"/>
      <c r="Q11" s="1"/>
      <c r="R11" s="1"/>
      <c r="S11" s="1"/>
      <c r="T11" s="1"/>
      <c r="U11" s="1"/>
      <c r="V11" s="1"/>
      <c r="W11" s="1"/>
      <c r="X11" s="1"/>
      <c r="Y11" s="1"/>
      <c r="Z11" s="1"/>
      <c r="AA11" s="1"/>
      <c r="AB11" s="1"/>
      <c r="AC11" s="1"/>
      <c r="AD11" s="1"/>
      <c r="AE11" s="1"/>
      <c r="AF11" s="1"/>
      <c r="AG11" s="1"/>
      <c r="AH11" s="1"/>
      <c r="AI11" s="1"/>
      <c r="AJ11" s="1"/>
      <c r="AK11" s="1"/>
      <c r="AL11" s="1"/>
      <c r="AM11" s="1"/>
      <c r="AN11" s="1"/>
      <c r="AO11" s="1"/>
    </row>
    <row r="12" s="279" customFormat="1" customHeight="1" spans="1:41">
      <c r="A12" s="280"/>
      <c r="B12" s="280"/>
      <c r="C12" s="280"/>
      <c r="D12" s="29"/>
      <c r="E12" s="29"/>
      <c r="F12" s="29"/>
      <c r="G12" s="29" t="s">
        <v>85</v>
      </c>
      <c r="H12" s="42">
        <v>46051</v>
      </c>
      <c r="I12" s="42"/>
      <c r="J12" s="42"/>
      <c r="K12" s="42"/>
      <c r="L12" s="47"/>
      <c r="M12" s="32"/>
      <c r="N12" s="32"/>
      <c r="O12" s="29"/>
      <c r="P12" s="33"/>
      <c r="Q12" s="1"/>
      <c r="R12" s="1"/>
      <c r="S12" s="1"/>
      <c r="T12" s="1"/>
      <c r="U12" s="1"/>
      <c r="V12" s="1"/>
      <c r="W12" s="1"/>
      <c r="X12" s="1"/>
      <c r="Y12" s="1"/>
      <c r="Z12" s="1"/>
      <c r="AA12" s="1"/>
      <c r="AB12" s="1"/>
      <c r="AC12" s="1"/>
      <c r="AD12" s="1"/>
      <c r="AE12" s="1"/>
      <c r="AF12" s="1"/>
      <c r="AG12" s="1"/>
      <c r="AH12" s="1"/>
      <c r="AI12" s="1"/>
      <c r="AJ12" s="1"/>
      <c r="AK12" s="1"/>
      <c r="AL12" s="1"/>
      <c r="AM12" s="1"/>
      <c r="AN12" s="1"/>
      <c r="AO12" s="1"/>
    </row>
    <row r="13" s="279" customFormat="1" customHeight="1" spans="1:41">
      <c r="A13" s="280"/>
      <c r="B13" s="280"/>
      <c r="C13" s="280"/>
      <c r="D13" s="29"/>
      <c r="E13" s="29"/>
      <c r="F13" s="29"/>
      <c r="G13" s="29" t="s">
        <v>86</v>
      </c>
      <c r="H13" s="42">
        <v>46051</v>
      </c>
      <c r="I13" s="42"/>
      <c r="J13" s="42"/>
      <c r="K13" s="42"/>
      <c r="L13" s="47"/>
      <c r="M13" s="32"/>
      <c r="N13" s="32"/>
      <c r="O13" s="29"/>
      <c r="P13" s="33"/>
      <c r="Q13" s="1"/>
      <c r="R13" s="1"/>
      <c r="S13" s="1"/>
      <c r="T13" s="1"/>
      <c r="U13" s="1"/>
      <c r="V13" s="1"/>
      <c r="W13" s="1"/>
      <c r="X13" s="1"/>
      <c r="Y13" s="1"/>
      <c r="Z13" s="1"/>
      <c r="AA13" s="1"/>
      <c r="AB13" s="1"/>
      <c r="AC13" s="1"/>
      <c r="AD13" s="1"/>
      <c r="AE13" s="1"/>
      <c r="AF13" s="1"/>
      <c r="AG13" s="1"/>
      <c r="AH13" s="1"/>
      <c r="AI13" s="1"/>
      <c r="AJ13" s="1"/>
      <c r="AK13" s="1"/>
      <c r="AL13" s="1"/>
      <c r="AM13" s="1"/>
      <c r="AN13" s="1"/>
      <c r="AO13" s="1"/>
    </row>
    <row r="14" s="279" customFormat="1" customHeight="1" spans="1:41">
      <c r="A14" s="280"/>
      <c r="B14" s="280"/>
      <c r="C14" s="280"/>
      <c r="D14" s="29"/>
      <c r="E14" s="29"/>
      <c r="F14" s="29"/>
      <c r="G14" s="29" t="s">
        <v>87</v>
      </c>
      <c r="H14" s="42">
        <v>46051</v>
      </c>
      <c r="I14" s="42"/>
      <c r="J14" s="42"/>
      <c r="K14" s="42"/>
      <c r="L14" s="47"/>
      <c r="M14" s="32"/>
      <c r="N14" s="32"/>
      <c r="O14" s="29"/>
      <c r="P14" s="33"/>
      <c r="Q14" s="1"/>
      <c r="R14" s="1"/>
      <c r="S14" s="1"/>
      <c r="T14" s="1"/>
      <c r="U14" s="1"/>
      <c r="V14" s="1"/>
      <c r="W14" s="1"/>
      <c r="X14" s="1"/>
      <c r="Y14" s="1"/>
      <c r="Z14" s="1"/>
      <c r="AA14" s="1"/>
      <c r="AB14" s="1"/>
      <c r="AC14" s="1"/>
      <c r="AD14" s="1"/>
      <c r="AE14" s="1"/>
      <c r="AF14" s="1"/>
      <c r="AG14" s="1"/>
      <c r="AH14" s="1"/>
      <c r="AI14" s="1"/>
      <c r="AJ14" s="1"/>
      <c r="AK14" s="1"/>
      <c r="AL14" s="1"/>
      <c r="AM14" s="1"/>
      <c r="AN14" s="1"/>
      <c r="AO14" s="1"/>
    </row>
    <row r="15" s="279" customFormat="1" customHeight="1" spans="1:41">
      <c r="A15" s="280"/>
      <c r="B15" s="280"/>
      <c r="C15" s="280"/>
      <c r="D15" s="29"/>
      <c r="E15" s="29"/>
      <c r="F15" s="29"/>
      <c r="G15" s="29" t="s">
        <v>88</v>
      </c>
      <c r="H15" s="42">
        <v>46051</v>
      </c>
      <c r="I15" s="42"/>
      <c r="J15" s="42"/>
      <c r="K15" s="42"/>
      <c r="L15" s="47"/>
      <c r="M15" s="32"/>
      <c r="N15" s="32"/>
      <c r="O15" s="29"/>
      <c r="P15" s="33"/>
      <c r="Q15" s="1"/>
      <c r="R15" s="1"/>
      <c r="S15" s="1"/>
      <c r="T15" s="1"/>
      <c r="U15" s="1"/>
      <c r="V15" s="1"/>
      <c r="W15" s="1"/>
      <c r="X15" s="1"/>
      <c r="Y15" s="1"/>
      <c r="Z15" s="1"/>
      <c r="AA15" s="1"/>
      <c r="AB15" s="1"/>
      <c r="AC15" s="1"/>
      <c r="AD15" s="1"/>
      <c r="AE15" s="1"/>
      <c r="AF15" s="1"/>
      <c r="AG15" s="1"/>
      <c r="AH15" s="1"/>
      <c r="AI15" s="1"/>
      <c r="AJ15" s="1"/>
      <c r="AK15" s="1"/>
      <c r="AL15" s="1"/>
      <c r="AM15" s="1"/>
      <c r="AN15" s="1"/>
      <c r="AO15" s="1"/>
    </row>
    <row r="16" s="279" customFormat="1" customHeight="1" spans="1:41">
      <c r="A16" s="280"/>
      <c r="B16" s="280"/>
      <c r="C16" s="280"/>
      <c r="D16" s="29"/>
      <c r="E16" s="29"/>
      <c r="F16" s="29"/>
      <c r="G16" s="29" t="s">
        <v>89</v>
      </c>
      <c r="H16" s="42">
        <v>46051</v>
      </c>
      <c r="I16" s="42"/>
      <c r="J16" s="42"/>
      <c r="K16" s="42"/>
      <c r="L16" s="47"/>
      <c r="M16" s="32"/>
      <c r="N16" s="32"/>
      <c r="O16" s="29"/>
      <c r="P16" s="33"/>
      <c r="Q16" s="1"/>
      <c r="R16" s="1"/>
      <c r="S16" s="1"/>
      <c r="T16" s="1"/>
      <c r="U16" s="1"/>
      <c r="V16" s="1"/>
      <c r="W16" s="1"/>
      <c r="X16" s="1"/>
      <c r="Y16" s="1"/>
      <c r="Z16" s="1"/>
      <c r="AA16" s="1"/>
      <c r="AB16" s="1"/>
      <c r="AC16" s="1"/>
      <c r="AD16" s="1"/>
      <c r="AE16" s="1"/>
      <c r="AF16" s="1"/>
      <c r="AG16" s="1"/>
      <c r="AH16" s="1"/>
      <c r="AI16" s="1"/>
      <c r="AJ16" s="1"/>
      <c r="AK16" s="1"/>
      <c r="AL16" s="1"/>
      <c r="AM16" s="1"/>
      <c r="AN16" s="1"/>
      <c r="AO16" s="1"/>
    </row>
    <row r="17" s="279" customFormat="1" customHeight="1" spans="1:41">
      <c r="A17" s="280"/>
      <c r="B17" s="280"/>
      <c r="C17" s="280"/>
      <c r="D17" s="29"/>
      <c r="E17" s="29"/>
      <c r="F17" s="29"/>
      <c r="G17" s="29" t="s">
        <v>90</v>
      </c>
      <c r="H17" s="42">
        <v>46051</v>
      </c>
      <c r="I17" s="42"/>
      <c r="J17" s="42"/>
      <c r="K17" s="42"/>
      <c r="L17" s="47"/>
      <c r="M17" s="32"/>
      <c r="N17" s="32"/>
      <c r="O17" s="29"/>
      <c r="P17" s="33"/>
      <c r="Q17" s="1"/>
      <c r="R17" s="1"/>
      <c r="S17" s="1"/>
      <c r="T17" s="1"/>
      <c r="U17" s="1"/>
      <c r="V17" s="1"/>
      <c r="W17" s="1"/>
      <c r="X17" s="1"/>
      <c r="Y17" s="1"/>
      <c r="Z17" s="1"/>
      <c r="AA17" s="1"/>
      <c r="AB17" s="1"/>
      <c r="AC17" s="1"/>
      <c r="AD17" s="1"/>
      <c r="AE17" s="1"/>
      <c r="AF17" s="1"/>
      <c r="AG17" s="1"/>
      <c r="AH17" s="1"/>
      <c r="AI17" s="1"/>
      <c r="AJ17" s="1"/>
      <c r="AK17" s="1"/>
      <c r="AL17" s="1"/>
      <c r="AM17" s="1"/>
      <c r="AN17" s="1"/>
      <c r="AO17" s="1"/>
    </row>
    <row r="18" s="279" customFormat="1" customHeight="1" spans="1:41">
      <c r="A18" s="280"/>
      <c r="B18" s="280"/>
      <c r="C18" s="280"/>
      <c r="D18" s="29"/>
      <c r="E18" s="29"/>
      <c r="F18" s="29"/>
      <c r="G18" s="281" t="s">
        <v>91</v>
      </c>
      <c r="H18" s="282">
        <v>46051</v>
      </c>
      <c r="I18" s="282">
        <v>46119</v>
      </c>
      <c r="J18" s="47"/>
      <c r="K18" s="47"/>
      <c r="L18" s="47"/>
      <c r="M18" s="32"/>
      <c r="N18" s="32"/>
      <c r="O18" s="29"/>
      <c r="P18" s="33"/>
      <c r="Q18" s="1"/>
      <c r="R18" s="1"/>
      <c r="S18" s="1"/>
      <c r="T18" s="1"/>
      <c r="U18" s="1"/>
      <c r="V18" s="1"/>
      <c r="W18" s="1"/>
      <c r="X18" s="1"/>
      <c r="Y18" s="1"/>
      <c r="Z18" s="1"/>
      <c r="AA18" s="1"/>
      <c r="AB18" s="1"/>
      <c r="AC18" s="1"/>
      <c r="AD18" s="1"/>
      <c r="AE18" s="1"/>
      <c r="AF18" s="1"/>
      <c r="AG18" s="1"/>
      <c r="AH18" s="1"/>
      <c r="AI18" s="1"/>
      <c r="AJ18" s="1"/>
      <c r="AK18" s="1"/>
      <c r="AL18" s="1"/>
      <c r="AM18" s="1"/>
      <c r="AN18" s="1"/>
      <c r="AO18" s="1"/>
    </row>
    <row r="19" s="279" customFormat="1" customHeight="1" spans="1:41">
      <c r="A19" s="280"/>
      <c r="B19" s="280"/>
      <c r="C19" s="280"/>
      <c r="D19" s="29"/>
      <c r="E19" s="29"/>
      <c r="F19" s="29"/>
      <c r="G19" s="281" t="s">
        <v>92</v>
      </c>
      <c r="H19" s="282">
        <v>46051</v>
      </c>
      <c r="I19" s="282">
        <v>46119</v>
      </c>
      <c r="J19" s="47"/>
      <c r="K19" s="47"/>
      <c r="L19" s="47"/>
      <c r="M19" s="32"/>
      <c r="N19" s="32"/>
      <c r="O19" s="29"/>
      <c r="P19" s="33"/>
      <c r="Q19" s="1"/>
      <c r="R19" s="1"/>
      <c r="S19" s="1"/>
      <c r="T19" s="1"/>
      <c r="U19" s="1"/>
      <c r="V19" s="1"/>
      <c r="W19" s="1"/>
      <c r="X19" s="1"/>
      <c r="Y19" s="1"/>
      <c r="Z19" s="1"/>
      <c r="AA19" s="1"/>
      <c r="AB19" s="1"/>
      <c r="AC19" s="1"/>
      <c r="AD19" s="1"/>
      <c r="AE19" s="1"/>
      <c r="AF19" s="1"/>
      <c r="AG19" s="1"/>
      <c r="AH19" s="1"/>
      <c r="AI19" s="1"/>
      <c r="AJ19" s="1"/>
      <c r="AK19" s="1"/>
      <c r="AL19" s="1"/>
      <c r="AM19" s="1"/>
      <c r="AN19" s="1"/>
      <c r="AO19" s="1"/>
    </row>
    <row r="20" s="279" customFormat="1" customHeight="1" spans="1:41">
      <c r="A20" s="280"/>
      <c r="B20" s="280"/>
      <c r="C20" s="280"/>
      <c r="D20" s="29"/>
      <c r="E20" s="29"/>
      <c r="F20" s="29"/>
      <c r="G20" s="29" t="s">
        <v>93</v>
      </c>
      <c r="H20" s="42">
        <v>46051</v>
      </c>
      <c r="I20" s="42"/>
      <c r="J20" s="42"/>
      <c r="K20" s="42"/>
      <c r="L20" s="47"/>
      <c r="M20" s="32"/>
      <c r="N20" s="32"/>
      <c r="O20" s="29"/>
      <c r="P20" s="33"/>
      <c r="Q20" s="1"/>
      <c r="R20" s="1"/>
      <c r="S20" s="1"/>
      <c r="T20" s="1"/>
      <c r="U20" s="1"/>
      <c r="V20" s="1"/>
      <c r="W20" s="1"/>
      <c r="X20" s="1"/>
      <c r="Y20" s="1"/>
      <c r="Z20" s="1"/>
      <c r="AA20" s="1"/>
      <c r="AB20" s="1"/>
      <c r="AC20" s="1"/>
      <c r="AD20" s="1"/>
      <c r="AE20" s="1"/>
      <c r="AF20" s="1"/>
      <c r="AG20" s="1"/>
      <c r="AH20" s="1"/>
      <c r="AI20" s="1"/>
      <c r="AJ20" s="1"/>
      <c r="AK20" s="1"/>
      <c r="AL20" s="1"/>
      <c r="AM20" s="1"/>
      <c r="AN20" s="1"/>
      <c r="AO20" s="1"/>
    </row>
    <row r="21" s="279" customFormat="1" customHeight="1" spans="1:41">
      <c r="A21" s="280"/>
      <c r="B21" s="280"/>
      <c r="C21" s="280"/>
      <c r="D21" s="29"/>
      <c r="E21" s="29"/>
      <c r="F21" s="29"/>
      <c r="G21" s="29" t="s">
        <v>94</v>
      </c>
      <c r="H21" s="42">
        <v>46051</v>
      </c>
      <c r="I21" s="42"/>
      <c r="J21" s="42"/>
      <c r="K21" s="42"/>
      <c r="L21" s="47"/>
      <c r="M21" s="32"/>
      <c r="N21" s="32"/>
      <c r="O21" s="29"/>
      <c r="P21" s="33"/>
      <c r="Q21" s="1"/>
      <c r="R21" s="1"/>
      <c r="S21" s="1"/>
      <c r="T21" s="1"/>
      <c r="U21" s="1"/>
      <c r="V21" s="1"/>
      <c r="W21" s="1"/>
      <c r="X21" s="1"/>
      <c r="Y21" s="1"/>
      <c r="Z21" s="1"/>
      <c r="AA21" s="1"/>
      <c r="AB21" s="1"/>
      <c r="AC21" s="1"/>
      <c r="AD21" s="1"/>
      <c r="AE21" s="1"/>
      <c r="AF21" s="1"/>
      <c r="AG21" s="1"/>
      <c r="AH21" s="1"/>
      <c r="AI21" s="1"/>
      <c r="AJ21" s="1"/>
      <c r="AK21" s="1"/>
      <c r="AL21" s="1"/>
      <c r="AM21" s="1"/>
      <c r="AN21" s="1"/>
      <c r="AO21" s="1"/>
    </row>
    <row r="22" s="279" customFormat="1" customHeight="1" spans="1:41">
      <c r="A22" s="280"/>
      <c r="B22" s="280"/>
      <c r="C22" s="280"/>
      <c r="D22" s="29"/>
      <c r="E22" s="29"/>
      <c r="F22" s="29"/>
      <c r="G22" s="29" t="s">
        <v>95</v>
      </c>
      <c r="H22" s="42">
        <v>46051</v>
      </c>
      <c r="I22" s="42"/>
      <c r="J22" s="42"/>
      <c r="K22" s="42"/>
      <c r="L22" s="47"/>
      <c r="M22" s="32"/>
      <c r="N22" s="32"/>
      <c r="O22" s="29"/>
      <c r="P22" s="33"/>
      <c r="Q22" s="1"/>
      <c r="R22" s="1"/>
      <c r="S22" s="1"/>
      <c r="T22" s="1"/>
      <c r="U22" s="1"/>
      <c r="V22" s="1"/>
      <c r="W22" s="1"/>
      <c r="X22" s="1"/>
      <c r="Y22" s="1"/>
      <c r="Z22" s="1"/>
      <c r="AA22" s="1"/>
      <c r="AB22" s="1"/>
      <c r="AC22" s="1"/>
      <c r="AD22" s="1"/>
      <c r="AE22" s="1"/>
      <c r="AF22" s="1"/>
      <c r="AG22" s="1"/>
      <c r="AH22" s="1"/>
      <c r="AI22" s="1"/>
      <c r="AJ22" s="1"/>
      <c r="AK22" s="1"/>
      <c r="AL22" s="1"/>
      <c r="AM22" s="1"/>
      <c r="AN22" s="1"/>
      <c r="AO22" s="1"/>
    </row>
    <row r="23" s="279" customFormat="1" customHeight="1" spans="1:41">
      <c r="A23" s="27">
        <v>36</v>
      </c>
      <c r="B23" s="27" t="s">
        <v>51</v>
      </c>
      <c r="C23" s="27" t="s">
        <v>52</v>
      </c>
      <c r="D23" s="29">
        <v>1</v>
      </c>
      <c r="E23" s="29" t="s">
        <v>53</v>
      </c>
      <c r="F23" s="29">
        <v>25.62</v>
      </c>
      <c r="G23" s="29" t="s">
        <v>96</v>
      </c>
      <c r="H23" s="42">
        <v>46051</v>
      </c>
      <c r="I23" s="42"/>
      <c r="J23" s="42">
        <f>H23+90</f>
        <v>46141</v>
      </c>
      <c r="K23" s="42">
        <v>46113</v>
      </c>
      <c r="L23" s="47">
        <v>46142</v>
      </c>
      <c r="M23" s="32">
        <v>30</v>
      </c>
      <c r="N23" s="32">
        <f>M23*F23*D23</f>
        <v>768.6</v>
      </c>
      <c r="O23" s="29">
        <f>L23-J23+1</f>
        <v>2</v>
      </c>
      <c r="P23" s="33">
        <v>51.24</v>
      </c>
      <c r="Q23" s="1"/>
      <c r="R23" s="1"/>
      <c r="S23" s="1"/>
      <c r="T23" s="1"/>
      <c r="U23" s="1"/>
      <c r="V23" s="1"/>
      <c r="W23" s="1"/>
      <c r="X23" s="1"/>
      <c r="Y23" s="1"/>
      <c r="Z23" s="1"/>
      <c r="AA23" s="1"/>
      <c r="AB23" s="1"/>
      <c r="AC23" s="1"/>
      <c r="AD23" s="1"/>
      <c r="AE23" s="1"/>
      <c r="AF23" s="1"/>
      <c r="AG23" s="1"/>
      <c r="AH23" s="1"/>
      <c r="AI23" s="1"/>
      <c r="AJ23" s="1"/>
      <c r="AK23" s="1"/>
      <c r="AL23" s="1"/>
      <c r="AM23" s="1"/>
      <c r="AN23" s="1"/>
      <c r="AO23" s="1"/>
    </row>
    <row r="24" s="279" customFormat="1" customHeight="1" spans="1:41">
      <c r="A24" s="27"/>
      <c r="B24" s="27"/>
      <c r="C24" s="27"/>
      <c r="D24" s="29"/>
      <c r="E24" s="29"/>
      <c r="F24" s="29"/>
      <c r="G24" s="29" t="s">
        <v>97</v>
      </c>
      <c r="H24" s="42">
        <v>46051</v>
      </c>
      <c r="I24" s="42"/>
      <c r="J24" s="42"/>
      <c r="K24" s="42"/>
      <c r="L24" s="47"/>
      <c r="M24" s="32"/>
      <c r="N24" s="32"/>
      <c r="O24" s="29"/>
      <c r="P24" s="33"/>
      <c r="Q24" s="1"/>
      <c r="R24" s="1"/>
      <c r="S24" s="1"/>
      <c r="T24" s="1"/>
      <c r="U24" s="1"/>
      <c r="V24" s="1"/>
      <c r="W24" s="1"/>
      <c r="X24" s="1"/>
      <c r="Y24" s="1"/>
      <c r="Z24" s="1"/>
      <c r="AA24" s="1"/>
      <c r="AB24" s="1"/>
      <c r="AC24" s="1"/>
      <c r="AD24" s="1"/>
      <c r="AE24" s="1"/>
      <c r="AF24" s="1"/>
      <c r="AG24" s="1"/>
      <c r="AH24" s="1"/>
      <c r="AI24" s="1"/>
      <c r="AJ24" s="1"/>
      <c r="AK24" s="1"/>
      <c r="AL24" s="1"/>
      <c r="AM24" s="1"/>
      <c r="AN24" s="1"/>
      <c r="AO24" s="1"/>
    </row>
    <row r="25" s="279" customFormat="1" customHeight="1" spans="1:41">
      <c r="A25" s="27"/>
      <c r="B25" s="27"/>
      <c r="C25" s="27"/>
      <c r="D25" s="29"/>
      <c r="E25" s="29"/>
      <c r="F25" s="29"/>
      <c r="G25" s="29" t="s">
        <v>98</v>
      </c>
      <c r="H25" s="42">
        <v>46051</v>
      </c>
      <c r="I25" s="42"/>
      <c r="J25" s="42"/>
      <c r="K25" s="42"/>
      <c r="L25" s="47"/>
      <c r="M25" s="32"/>
      <c r="N25" s="32"/>
      <c r="O25" s="29"/>
      <c r="P25" s="33"/>
      <c r="Q25" s="1"/>
      <c r="R25" s="1"/>
      <c r="S25" s="1"/>
      <c r="T25" s="1"/>
      <c r="U25" s="1"/>
      <c r="V25" s="1"/>
      <c r="W25" s="1"/>
      <c r="X25" s="1"/>
      <c r="Y25" s="1"/>
      <c r="Z25" s="1"/>
      <c r="AA25" s="1"/>
      <c r="AB25" s="1"/>
      <c r="AC25" s="1"/>
      <c r="AD25" s="1"/>
      <c r="AE25" s="1"/>
      <c r="AF25" s="1"/>
      <c r="AG25" s="1"/>
      <c r="AH25" s="1"/>
      <c r="AI25" s="1"/>
      <c r="AJ25" s="1"/>
      <c r="AK25" s="1"/>
      <c r="AL25" s="1"/>
      <c r="AM25" s="1"/>
      <c r="AN25" s="1"/>
      <c r="AO25" s="1"/>
    </row>
    <row r="26" s="279" customFormat="1" customHeight="1" spans="1:41">
      <c r="A26" s="27"/>
      <c r="B26" s="27"/>
      <c r="C26" s="27"/>
      <c r="D26" s="29"/>
      <c r="E26" s="29"/>
      <c r="F26" s="29"/>
      <c r="G26" s="281" t="s">
        <v>99</v>
      </c>
      <c r="H26" s="282">
        <v>46051</v>
      </c>
      <c r="I26" s="282">
        <v>46119</v>
      </c>
      <c r="J26" s="47"/>
      <c r="K26" s="47"/>
      <c r="L26" s="47"/>
      <c r="M26" s="32"/>
      <c r="N26" s="32"/>
      <c r="O26" s="29"/>
      <c r="P26" s="33"/>
      <c r="Q26" s="1"/>
      <c r="R26" s="1"/>
      <c r="S26" s="1"/>
      <c r="T26" s="1"/>
      <c r="U26" s="1"/>
      <c r="V26" s="1"/>
      <c r="W26" s="1"/>
      <c r="X26" s="1"/>
      <c r="Y26" s="1"/>
      <c r="Z26" s="1"/>
      <c r="AA26" s="1"/>
      <c r="AB26" s="1"/>
      <c r="AC26" s="1"/>
      <c r="AD26" s="1"/>
      <c r="AE26" s="1"/>
      <c r="AF26" s="1"/>
      <c r="AG26" s="1"/>
      <c r="AH26" s="1"/>
      <c r="AI26" s="1"/>
      <c r="AJ26" s="1"/>
      <c r="AK26" s="1"/>
      <c r="AL26" s="1"/>
      <c r="AM26" s="1"/>
      <c r="AN26" s="1"/>
      <c r="AO26" s="1"/>
    </row>
    <row r="27" s="279" customFormat="1" customHeight="1" spans="1:41">
      <c r="A27" s="27"/>
      <c r="B27" s="27"/>
      <c r="C27" s="27"/>
      <c r="D27" s="29"/>
      <c r="E27" s="29"/>
      <c r="F27" s="29"/>
      <c r="G27" s="29" t="s">
        <v>100</v>
      </c>
      <c r="H27" s="42">
        <v>46051</v>
      </c>
      <c r="I27" s="42"/>
      <c r="J27" s="42"/>
      <c r="K27" s="42"/>
      <c r="L27" s="47"/>
      <c r="M27" s="32"/>
      <c r="N27" s="32"/>
      <c r="O27" s="29"/>
      <c r="P27" s="33"/>
      <c r="Q27" s="1"/>
      <c r="R27" s="1"/>
      <c r="S27" s="1"/>
      <c r="T27" s="1"/>
      <c r="U27" s="1"/>
      <c r="V27" s="1"/>
      <c r="W27" s="1"/>
      <c r="X27" s="1"/>
      <c r="Y27" s="1"/>
      <c r="Z27" s="1"/>
      <c r="AA27" s="1"/>
      <c r="AB27" s="1"/>
      <c r="AC27" s="1"/>
      <c r="AD27" s="1"/>
      <c r="AE27" s="1"/>
      <c r="AF27" s="1"/>
      <c r="AG27" s="1"/>
      <c r="AH27" s="1"/>
      <c r="AI27" s="1"/>
      <c r="AJ27" s="1"/>
      <c r="AK27" s="1"/>
      <c r="AL27" s="1"/>
      <c r="AM27" s="1"/>
      <c r="AN27" s="1"/>
      <c r="AO27" s="1"/>
    </row>
    <row r="28" s="279" customFormat="1" customHeight="1" spans="1:41">
      <c r="A28" s="27"/>
      <c r="B28" s="27"/>
      <c r="C28" s="27"/>
      <c r="D28" s="29"/>
      <c r="E28" s="29"/>
      <c r="F28" s="29"/>
      <c r="G28" s="29" t="s">
        <v>101</v>
      </c>
      <c r="H28" s="42">
        <v>46051</v>
      </c>
      <c r="I28" s="42"/>
      <c r="J28" s="42"/>
      <c r="K28" s="42"/>
      <c r="L28" s="47"/>
      <c r="M28" s="32"/>
      <c r="N28" s="32"/>
      <c r="O28" s="29"/>
      <c r="P28" s="33"/>
      <c r="Q28" s="1"/>
      <c r="R28" s="1"/>
      <c r="S28" s="1"/>
      <c r="T28" s="1"/>
      <c r="U28" s="1"/>
      <c r="V28" s="1"/>
      <c r="W28" s="1"/>
      <c r="X28" s="1"/>
      <c r="Y28" s="1"/>
      <c r="Z28" s="1"/>
      <c r="AA28" s="1"/>
      <c r="AB28" s="1"/>
      <c r="AC28" s="1"/>
      <c r="AD28" s="1"/>
      <c r="AE28" s="1"/>
      <c r="AF28" s="1"/>
      <c r="AG28" s="1"/>
      <c r="AH28" s="1"/>
      <c r="AI28" s="1"/>
      <c r="AJ28" s="1"/>
      <c r="AK28" s="1"/>
      <c r="AL28" s="1"/>
      <c r="AM28" s="1"/>
      <c r="AN28" s="1"/>
      <c r="AO28" s="1"/>
    </row>
    <row r="29" s="279" customFormat="1" customHeight="1" spans="1:41">
      <c r="A29" s="27"/>
      <c r="B29" s="27"/>
      <c r="C29" s="27"/>
      <c r="D29" s="29"/>
      <c r="E29" s="29"/>
      <c r="F29" s="29"/>
      <c r="G29" s="29" t="s">
        <v>102</v>
      </c>
      <c r="H29" s="42">
        <v>46051</v>
      </c>
      <c r="I29" s="42"/>
      <c r="J29" s="42"/>
      <c r="K29" s="42"/>
      <c r="L29" s="47"/>
      <c r="M29" s="32"/>
      <c r="N29" s="32"/>
      <c r="O29" s="29"/>
      <c r="P29" s="33"/>
      <c r="Q29" s="1"/>
      <c r="R29" s="1"/>
      <c r="S29" s="1"/>
      <c r="T29" s="1"/>
      <c r="U29" s="1"/>
      <c r="V29" s="1"/>
      <c r="W29" s="1"/>
      <c r="X29" s="1"/>
      <c r="Y29" s="1"/>
      <c r="Z29" s="1"/>
      <c r="AA29" s="1"/>
      <c r="AB29" s="1"/>
      <c r="AC29" s="1"/>
      <c r="AD29" s="1"/>
      <c r="AE29" s="1"/>
      <c r="AF29" s="1"/>
      <c r="AG29" s="1"/>
      <c r="AH29" s="1"/>
      <c r="AI29" s="1"/>
      <c r="AJ29" s="1"/>
      <c r="AK29" s="1"/>
      <c r="AL29" s="1"/>
      <c r="AM29" s="1"/>
      <c r="AN29" s="1"/>
      <c r="AO29" s="1"/>
    </row>
    <row r="30" s="279" customFormat="1" customHeight="1" spans="1:41">
      <c r="A30" s="27"/>
      <c r="B30" s="27"/>
      <c r="C30" s="27"/>
      <c r="D30" s="29"/>
      <c r="E30" s="29"/>
      <c r="F30" s="29"/>
      <c r="G30" s="29" t="s">
        <v>103</v>
      </c>
      <c r="H30" s="42">
        <v>46051</v>
      </c>
      <c r="I30" s="42"/>
      <c r="J30" s="42"/>
      <c r="K30" s="42"/>
      <c r="L30" s="47"/>
      <c r="M30" s="32"/>
      <c r="N30" s="32"/>
      <c r="O30" s="29"/>
      <c r="P30" s="33"/>
      <c r="Q30" s="1"/>
      <c r="R30" s="1"/>
      <c r="S30" s="1"/>
      <c r="T30" s="1"/>
      <c r="U30" s="1"/>
      <c r="V30" s="1"/>
      <c r="W30" s="1"/>
      <c r="X30" s="1"/>
      <c r="Y30" s="1"/>
      <c r="Z30" s="1"/>
      <c r="AA30" s="1"/>
      <c r="AB30" s="1"/>
      <c r="AC30" s="1"/>
      <c r="AD30" s="1"/>
      <c r="AE30" s="1"/>
      <c r="AF30" s="1"/>
      <c r="AG30" s="1"/>
      <c r="AH30" s="1"/>
      <c r="AI30" s="1"/>
      <c r="AJ30" s="1"/>
      <c r="AK30" s="1"/>
      <c r="AL30" s="1"/>
      <c r="AM30" s="1"/>
      <c r="AN30" s="1"/>
      <c r="AO30" s="1"/>
    </row>
    <row r="31" s="279" customFormat="1" customHeight="1" spans="1:41">
      <c r="A31" s="27"/>
      <c r="B31" s="27"/>
      <c r="C31" s="27"/>
      <c r="D31" s="29"/>
      <c r="E31" s="29"/>
      <c r="F31" s="29"/>
      <c r="G31" s="29" t="s">
        <v>104</v>
      </c>
      <c r="H31" s="42">
        <v>46051</v>
      </c>
      <c r="I31" s="42"/>
      <c r="J31" s="42"/>
      <c r="K31" s="42"/>
      <c r="L31" s="47"/>
      <c r="M31" s="32"/>
      <c r="N31" s="32"/>
      <c r="O31" s="29"/>
      <c r="P31" s="33"/>
      <c r="Q31" s="1"/>
      <c r="R31" s="1"/>
      <c r="S31" s="1"/>
      <c r="T31" s="1"/>
      <c r="U31" s="1"/>
      <c r="V31" s="1"/>
      <c r="W31" s="1"/>
      <c r="X31" s="1"/>
      <c r="Y31" s="1"/>
      <c r="Z31" s="1"/>
      <c r="AA31" s="1"/>
      <c r="AB31" s="1"/>
      <c r="AC31" s="1"/>
      <c r="AD31" s="1"/>
      <c r="AE31" s="1"/>
      <c r="AF31" s="1"/>
      <c r="AG31" s="1"/>
      <c r="AH31" s="1"/>
      <c r="AI31" s="1"/>
      <c r="AJ31" s="1"/>
      <c r="AK31" s="1"/>
      <c r="AL31" s="1"/>
      <c r="AM31" s="1"/>
      <c r="AN31" s="1"/>
      <c r="AO31" s="1"/>
    </row>
    <row r="32" s="279" customFormat="1" customHeight="1" spans="1:41">
      <c r="A32" s="27"/>
      <c r="B32" s="27"/>
      <c r="C32" s="27"/>
      <c r="D32" s="29"/>
      <c r="E32" s="29"/>
      <c r="F32" s="29"/>
      <c r="G32" s="29" t="s">
        <v>105</v>
      </c>
      <c r="H32" s="42">
        <v>46051</v>
      </c>
      <c r="I32" s="42"/>
      <c r="J32" s="42"/>
      <c r="K32" s="42"/>
      <c r="L32" s="47"/>
      <c r="M32" s="32"/>
      <c r="N32" s="32"/>
      <c r="O32" s="29"/>
      <c r="P32" s="33"/>
      <c r="Q32" s="1"/>
      <c r="R32" s="1"/>
      <c r="S32" s="1"/>
      <c r="T32" s="1"/>
      <c r="U32" s="1"/>
      <c r="V32" s="1"/>
      <c r="W32" s="1"/>
      <c r="X32" s="1"/>
      <c r="Y32" s="1"/>
      <c r="Z32" s="1"/>
      <c r="AA32" s="1"/>
      <c r="AB32" s="1"/>
      <c r="AC32" s="1"/>
      <c r="AD32" s="1"/>
      <c r="AE32" s="1"/>
      <c r="AF32" s="1"/>
      <c r="AG32" s="1"/>
      <c r="AH32" s="1"/>
      <c r="AI32" s="1"/>
      <c r="AJ32" s="1"/>
      <c r="AK32" s="1"/>
      <c r="AL32" s="1"/>
      <c r="AM32" s="1"/>
      <c r="AN32" s="1"/>
      <c r="AO32" s="1"/>
    </row>
    <row r="33" s="279" customFormat="1" customHeight="1" spans="1:41">
      <c r="A33" s="27"/>
      <c r="B33" s="27"/>
      <c r="C33" s="27"/>
      <c r="D33" s="29"/>
      <c r="E33" s="29"/>
      <c r="F33" s="29"/>
      <c r="G33" s="281" t="s">
        <v>106</v>
      </c>
      <c r="H33" s="282">
        <v>46051</v>
      </c>
      <c r="I33" s="282">
        <v>46119</v>
      </c>
      <c r="J33" s="47"/>
      <c r="K33" s="47"/>
      <c r="L33" s="47"/>
      <c r="M33" s="32"/>
      <c r="N33" s="32"/>
      <c r="O33" s="29"/>
      <c r="P33" s="33"/>
      <c r="Q33" s="1"/>
      <c r="R33" s="1"/>
      <c r="S33" s="1"/>
      <c r="T33" s="1"/>
      <c r="U33" s="1"/>
      <c r="V33" s="1"/>
      <c r="W33" s="1"/>
      <c r="X33" s="1"/>
      <c r="Y33" s="1"/>
      <c r="Z33" s="1"/>
      <c r="AA33" s="1"/>
      <c r="AB33" s="1"/>
      <c r="AC33" s="1"/>
      <c r="AD33" s="1"/>
      <c r="AE33" s="1"/>
      <c r="AF33" s="1"/>
      <c r="AG33" s="1"/>
      <c r="AH33" s="1"/>
      <c r="AI33" s="1"/>
      <c r="AJ33" s="1"/>
      <c r="AK33" s="1"/>
      <c r="AL33" s="1"/>
      <c r="AM33" s="1"/>
      <c r="AN33" s="1"/>
      <c r="AO33" s="1"/>
    </row>
    <row r="34" s="279" customFormat="1" customHeight="1" spans="1:41">
      <c r="A34" s="27"/>
      <c r="B34" s="27"/>
      <c r="C34" s="27"/>
      <c r="D34" s="29"/>
      <c r="E34" s="29"/>
      <c r="F34" s="29"/>
      <c r="G34" s="281" t="s">
        <v>107</v>
      </c>
      <c r="H34" s="282">
        <v>46051</v>
      </c>
      <c r="I34" s="282">
        <v>46119</v>
      </c>
      <c r="J34" s="47"/>
      <c r="K34" s="47"/>
      <c r="L34" s="47"/>
      <c r="M34" s="32"/>
      <c r="N34" s="32"/>
      <c r="O34" s="29"/>
      <c r="P34" s="33"/>
      <c r="Q34" s="1"/>
      <c r="R34" s="1"/>
      <c r="S34" s="1"/>
      <c r="T34" s="1"/>
      <c r="U34" s="1"/>
      <c r="V34" s="1"/>
      <c r="W34" s="1"/>
      <c r="X34" s="1"/>
      <c r="Y34" s="1"/>
      <c r="Z34" s="1"/>
      <c r="AA34" s="1"/>
      <c r="AB34" s="1"/>
      <c r="AC34" s="1"/>
      <c r="AD34" s="1"/>
      <c r="AE34" s="1"/>
      <c r="AF34" s="1"/>
      <c r="AG34" s="1"/>
      <c r="AH34" s="1"/>
      <c r="AI34" s="1"/>
      <c r="AJ34" s="1"/>
      <c r="AK34" s="1"/>
      <c r="AL34" s="1"/>
      <c r="AM34" s="1"/>
      <c r="AN34" s="1"/>
      <c r="AO34" s="1"/>
    </row>
    <row r="35" s="279" customFormat="1" customHeight="1" spans="1:41">
      <c r="A35" s="27"/>
      <c r="B35" s="27"/>
      <c r="C35" s="27"/>
      <c r="D35" s="29"/>
      <c r="E35" s="29"/>
      <c r="F35" s="29"/>
      <c r="G35" s="281" t="s">
        <v>108</v>
      </c>
      <c r="H35" s="282">
        <v>46051</v>
      </c>
      <c r="I35" s="282">
        <v>46119</v>
      </c>
      <c r="J35" s="47"/>
      <c r="K35" s="47"/>
      <c r="L35" s="47"/>
      <c r="M35" s="32"/>
      <c r="N35" s="32"/>
      <c r="O35" s="29"/>
      <c r="P35" s="33"/>
      <c r="Q35" s="1"/>
      <c r="R35" s="1"/>
      <c r="S35" s="1"/>
      <c r="T35" s="1"/>
      <c r="U35" s="1"/>
      <c r="V35" s="1"/>
      <c r="W35" s="1"/>
      <c r="X35" s="1"/>
      <c r="Y35" s="1"/>
      <c r="Z35" s="1"/>
      <c r="AA35" s="1"/>
      <c r="AB35" s="1"/>
      <c r="AC35" s="1"/>
      <c r="AD35" s="1"/>
      <c r="AE35" s="1"/>
      <c r="AF35" s="1"/>
      <c r="AG35" s="1"/>
      <c r="AH35" s="1"/>
      <c r="AI35" s="1"/>
      <c r="AJ35" s="1"/>
      <c r="AK35" s="1"/>
      <c r="AL35" s="1"/>
      <c r="AM35" s="1"/>
      <c r="AN35" s="1"/>
      <c r="AO35" s="1"/>
    </row>
    <row r="36" s="279" customFormat="1" customHeight="1" spans="1:41">
      <c r="A36" s="27"/>
      <c r="B36" s="27"/>
      <c r="C36" s="27"/>
      <c r="D36" s="29"/>
      <c r="E36" s="29"/>
      <c r="F36" s="29"/>
      <c r="G36" s="281" t="s">
        <v>109</v>
      </c>
      <c r="H36" s="282">
        <v>46051</v>
      </c>
      <c r="I36" s="282">
        <v>46119</v>
      </c>
      <c r="J36" s="47"/>
      <c r="K36" s="47"/>
      <c r="L36" s="47"/>
      <c r="M36" s="32"/>
      <c r="N36" s="32"/>
      <c r="O36" s="29"/>
      <c r="P36" s="33"/>
      <c r="Q36" s="1"/>
      <c r="R36" s="1"/>
      <c r="S36" s="1"/>
      <c r="T36" s="1"/>
      <c r="U36" s="1"/>
      <c r="V36" s="1"/>
      <c r="W36" s="1"/>
      <c r="X36" s="1"/>
      <c r="Y36" s="1"/>
      <c r="Z36" s="1"/>
      <c r="AA36" s="1"/>
      <c r="AB36" s="1"/>
      <c r="AC36" s="1"/>
      <c r="AD36" s="1"/>
      <c r="AE36" s="1"/>
      <c r="AF36" s="1"/>
      <c r="AG36" s="1"/>
      <c r="AH36" s="1"/>
      <c r="AI36" s="1"/>
      <c r="AJ36" s="1"/>
      <c r="AK36" s="1"/>
      <c r="AL36" s="1"/>
      <c r="AM36" s="1"/>
      <c r="AN36" s="1"/>
      <c r="AO36" s="1"/>
    </row>
    <row r="37" s="279" customFormat="1" customHeight="1" spans="1:41">
      <c r="A37" s="27"/>
      <c r="B37" s="27"/>
      <c r="C37" s="27"/>
      <c r="D37" s="29"/>
      <c r="E37" s="29"/>
      <c r="F37" s="29"/>
      <c r="G37" s="29" t="s">
        <v>110</v>
      </c>
      <c r="H37" s="42">
        <v>46051</v>
      </c>
      <c r="I37" s="42"/>
      <c r="J37" s="42"/>
      <c r="K37" s="42"/>
      <c r="L37" s="47"/>
      <c r="M37" s="32"/>
      <c r="N37" s="32"/>
      <c r="O37" s="29"/>
      <c r="P37" s="33"/>
      <c r="Q37" s="1"/>
      <c r="R37" s="1"/>
      <c r="S37" s="1"/>
      <c r="T37" s="1"/>
      <c r="U37" s="1"/>
      <c r="V37" s="1"/>
      <c r="W37" s="1"/>
      <c r="X37" s="1"/>
      <c r="Y37" s="1"/>
      <c r="Z37" s="1"/>
      <c r="AA37" s="1"/>
      <c r="AB37" s="1"/>
      <c r="AC37" s="1"/>
      <c r="AD37" s="1"/>
      <c r="AE37" s="1"/>
      <c r="AF37" s="1"/>
      <c r="AG37" s="1"/>
      <c r="AH37" s="1"/>
      <c r="AI37" s="1"/>
      <c r="AJ37" s="1"/>
      <c r="AK37" s="1"/>
      <c r="AL37" s="1"/>
      <c r="AM37" s="1"/>
      <c r="AN37" s="1"/>
      <c r="AO37" s="1"/>
    </row>
    <row r="38" s="279" customFormat="1" customHeight="1" spans="1:41">
      <c r="A38" s="27"/>
      <c r="B38" s="27"/>
      <c r="C38" s="27"/>
      <c r="D38" s="29"/>
      <c r="E38" s="29"/>
      <c r="F38" s="29"/>
      <c r="G38" s="29" t="s">
        <v>111</v>
      </c>
      <c r="H38" s="42">
        <v>46051</v>
      </c>
      <c r="I38" s="42"/>
      <c r="J38" s="42"/>
      <c r="K38" s="42"/>
      <c r="L38" s="47"/>
      <c r="M38" s="32"/>
      <c r="N38" s="32"/>
      <c r="O38" s="29"/>
      <c r="P38" s="33"/>
      <c r="Q38" s="1"/>
      <c r="R38" s="1"/>
      <c r="S38" s="1"/>
      <c r="T38" s="1"/>
      <c r="U38" s="1"/>
      <c r="V38" s="1"/>
      <c r="W38" s="1"/>
      <c r="X38" s="1"/>
      <c r="Y38" s="1"/>
      <c r="Z38" s="1"/>
      <c r="AA38" s="1"/>
      <c r="AB38" s="1"/>
      <c r="AC38" s="1"/>
      <c r="AD38" s="1"/>
      <c r="AE38" s="1"/>
      <c r="AF38" s="1"/>
      <c r="AG38" s="1"/>
      <c r="AH38" s="1"/>
      <c r="AI38" s="1"/>
      <c r="AJ38" s="1"/>
      <c r="AK38" s="1"/>
      <c r="AL38" s="1"/>
      <c r="AM38" s="1"/>
      <c r="AN38" s="1"/>
      <c r="AO38" s="1"/>
    </row>
    <row r="39" s="279" customFormat="1" customHeight="1" spans="1:41">
      <c r="A39" s="27"/>
      <c r="B39" s="27"/>
      <c r="C39" s="27"/>
      <c r="D39" s="29"/>
      <c r="E39" s="29"/>
      <c r="F39" s="29"/>
      <c r="G39" s="29" t="s">
        <v>112</v>
      </c>
      <c r="H39" s="42">
        <v>46051</v>
      </c>
      <c r="I39" s="42"/>
      <c r="J39" s="42"/>
      <c r="K39" s="42"/>
      <c r="L39" s="47"/>
      <c r="M39" s="32"/>
      <c r="N39" s="32"/>
      <c r="O39" s="29"/>
      <c r="P39" s="33"/>
      <c r="Q39" s="1"/>
      <c r="R39" s="1"/>
      <c r="S39" s="1"/>
      <c r="T39" s="1"/>
      <c r="U39" s="1"/>
      <c r="V39" s="1"/>
      <c r="W39" s="1"/>
      <c r="X39" s="1"/>
      <c r="Y39" s="1"/>
      <c r="Z39" s="1"/>
      <c r="AA39" s="1"/>
      <c r="AB39" s="1"/>
      <c r="AC39" s="1"/>
      <c r="AD39" s="1"/>
      <c r="AE39" s="1"/>
      <c r="AF39" s="1"/>
      <c r="AG39" s="1"/>
      <c r="AH39" s="1"/>
      <c r="AI39" s="1"/>
      <c r="AJ39" s="1"/>
      <c r="AK39" s="1"/>
      <c r="AL39" s="1"/>
      <c r="AM39" s="1"/>
      <c r="AN39" s="1"/>
      <c r="AO39" s="1"/>
    </row>
    <row r="40" s="279" customFormat="1" customHeight="1" spans="1:41">
      <c r="A40" s="27"/>
      <c r="B40" s="27"/>
      <c r="C40" s="27"/>
      <c r="D40" s="29"/>
      <c r="E40" s="29"/>
      <c r="F40" s="29"/>
      <c r="G40" s="29" t="s">
        <v>113</v>
      </c>
      <c r="H40" s="42">
        <v>46051</v>
      </c>
      <c r="I40" s="42"/>
      <c r="J40" s="42"/>
      <c r="K40" s="42"/>
      <c r="L40" s="47"/>
      <c r="M40" s="32"/>
      <c r="N40" s="32"/>
      <c r="O40" s="29"/>
      <c r="P40" s="33"/>
      <c r="Q40" s="1"/>
      <c r="R40" s="1"/>
      <c r="S40" s="1"/>
      <c r="T40" s="1"/>
      <c r="U40" s="1"/>
      <c r="V40" s="1"/>
      <c r="W40" s="1"/>
      <c r="X40" s="1"/>
      <c r="Y40" s="1"/>
      <c r="Z40" s="1"/>
      <c r="AA40" s="1"/>
      <c r="AB40" s="1"/>
      <c r="AC40" s="1"/>
      <c r="AD40" s="1"/>
      <c r="AE40" s="1"/>
      <c r="AF40" s="1"/>
      <c r="AG40" s="1"/>
      <c r="AH40" s="1"/>
      <c r="AI40" s="1"/>
      <c r="AJ40" s="1"/>
      <c r="AK40" s="1"/>
      <c r="AL40" s="1"/>
      <c r="AM40" s="1"/>
      <c r="AN40" s="1"/>
      <c r="AO40" s="1"/>
    </row>
    <row r="41" s="279" customFormat="1" customHeight="1" spans="1:41">
      <c r="A41" s="27"/>
      <c r="B41" s="27"/>
      <c r="C41" s="27"/>
      <c r="D41" s="29"/>
      <c r="E41" s="29"/>
      <c r="F41" s="29"/>
      <c r="G41" s="29" t="s">
        <v>114</v>
      </c>
      <c r="H41" s="42">
        <v>46051</v>
      </c>
      <c r="I41" s="42"/>
      <c r="J41" s="42"/>
      <c r="K41" s="42"/>
      <c r="L41" s="47"/>
      <c r="M41" s="32"/>
      <c r="N41" s="32"/>
      <c r="O41" s="29"/>
      <c r="P41" s="33"/>
      <c r="Q41" s="1"/>
      <c r="R41" s="1"/>
      <c r="S41" s="1"/>
      <c r="T41" s="1"/>
      <c r="U41" s="1"/>
      <c r="V41" s="1"/>
      <c r="W41" s="1"/>
      <c r="X41" s="1"/>
      <c r="Y41" s="1"/>
      <c r="Z41" s="1"/>
      <c r="AA41" s="1"/>
      <c r="AB41" s="1"/>
      <c r="AC41" s="1"/>
      <c r="AD41" s="1"/>
      <c r="AE41" s="1"/>
      <c r="AF41" s="1"/>
      <c r="AG41" s="1"/>
      <c r="AH41" s="1"/>
      <c r="AI41" s="1"/>
      <c r="AJ41" s="1"/>
      <c r="AK41" s="1"/>
      <c r="AL41" s="1"/>
      <c r="AM41" s="1"/>
      <c r="AN41" s="1"/>
      <c r="AO41" s="1"/>
    </row>
    <row r="42" s="279" customFormat="1" customHeight="1" spans="1:41">
      <c r="A42" s="27"/>
      <c r="B42" s="27"/>
      <c r="C42" s="27"/>
      <c r="D42" s="29"/>
      <c r="E42" s="29"/>
      <c r="F42" s="29"/>
      <c r="G42" s="29" t="s">
        <v>115</v>
      </c>
      <c r="H42" s="42">
        <v>46051</v>
      </c>
      <c r="I42" s="42"/>
      <c r="J42" s="42"/>
      <c r="K42" s="42"/>
      <c r="L42" s="47"/>
      <c r="M42" s="32"/>
      <c r="N42" s="32"/>
      <c r="O42" s="29"/>
      <c r="P42" s="33"/>
      <c r="Q42" s="1"/>
      <c r="R42" s="1"/>
      <c r="S42" s="1"/>
      <c r="T42" s="1"/>
      <c r="U42" s="1"/>
      <c r="V42" s="1"/>
      <c r="W42" s="1"/>
      <c r="X42" s="1"/>
      <c r="Y42" s="1"/>
      <c r="Z42" s="1"/>
      <c r="AA42" s="1"/>
      <c r="AB42" s="1"/>
      <c r="AC42" s="1"/>
      <c r="AD42" s="1"/>
      <c r="AE42" s="1"/>
      <c r="AF42" s="1"/>
      <c r="AG42" s="1"/>
      <c r="AH42" s="1"/>
      <c r="AI42" s="1"/>
      <c r="AJ42" s="1"/>
      <c r="AK42" s="1"/>
      <c r="AL42" s="1"/>
      <c r="AM42" s="1"/>
      <c r="AN42" s="1"/>
      <c r="AO42" s="1"/>
    </row>
    <row r="43" s="279" customFormat="1" customHeight="1" spans="1:41">
      <c r="A43" s="27">
        <v>35</v>
      </c>
      <c r="B43" s="27" t="s">
        <v>51</v>
      </c>
      <c r="C43" s="27" t="s">
        <v>54</v>
      </c>
      <c r="D43" s="29">
        <v>1</v>
      </c>
      <c r="E43" s="29" t="s">
        <v>53</v>
      </c>
      <c r="F43" s="29">
        <v>1.95</v>
      </c>
      <c r="G43" s="29" t="s">
        <v>116</v>
      </c>
      <c r="H43" s="42">
        <v>46051</v>
      </c>
      <c r="I43" s="42"/>
      <c r="J43" s="42">
        <f t="shared" ref="J43:J52" si="0">H43+90</f>
        <v>46141</v>
      </c>
      <c r="K43" s="42">
        <v>46113</v>
      </c>
      <c r="L43" s="47">
        <v>46142</v>
      </c>
      <c r="M43" s="32">
        <v>30</v>
      </c>
      <c r="N43" s="32">
        <f t="shared" ref="N43:N52" si="1">M43*F43*D43</f>
        <v>58.5</v>
      </c>
      <c r="O43" s="29">
        <f>L43-J43+1</f>
        <v>2</v>
      </c>
      <c r="P43" s="33">
        <f t="shared" ref="P43:P45" si="2">O43*F43*D43</f>
        <v>3.9</v>
      </c>
      <c r="Q43" s="1"/>
      <c r="R43" s="1"/>
      <c r="S43" s="1"/>
      <c r="T43" s="1"/>
      <c r="U43" s="1"/>
      <c r="V43" s="1"/>
      <c r="W43" s="1"/>
      <c r="X43" s="1"/>
      <c r="Y43" s="1"/>
      <c r="Z43" s="1"/>
      <c r="AA43" s="1"/>
      <c r="AB43" s="1"/>
      <c r="AC43" s="1"/>
      <c r="AD43" s="1"/>
      <c r="AE43" s="1"/>
      <c r="AF43" s="1"/>
      <c r="AG43" s="1"/>
      <c r="AH43" s="1"/>
      <c r="AI43" s="1"/>
      <c r="AJ43" s="1"/>
      <c r="AK43" s="1"/>
      <c r="AL43" s="1"/>
      <c r="AM43" s="1"/>
      <c r="AN43" s="1"/>
      <c r="AO43" s="1"/>
    </row>
    <row r="44" s="279" customFormat="1" customHeight="1" spans="1:41">
      <c r="A44" s="27">
        <v>35</v>
      </c>
      <c r="B44" s="27" t="s">
        <v>51</v>
      </c>
      <c r="C44" s="27" t="s">
        <v>54</v>
      </c>
      <c r="D44" s="29">
        <v>1</v>
      </c>
      <c r="E44" s="29" t="s">
        <v>53</v>
      </c>
      <c r="F44" s="29">
        <v>1.95</v>
      </c>
      <c r="G44" s="29" t="s">
        <v>117</v>
      </c>
      <c r="H44" s="42">
        <v>46051</v>
      </c>
      <c r="I44" s="42"/>
      <c r="J44" s="42">
        <f t="shared" si="0"/>
        <v>46141</v>
      </c>
      <c r="K44" s="42">
        <v>46113</v>
      </c>
      <c r="L44" s="47">
        <v>46142</v>
      </c>
      <c r="M44" s="32">
        <v>30</v>
      </c>
      <c r="N44" s="32">
        <f t="shared" si="1"/>
        <v>58.5</v>
      </c>
      <c r="O44" s="29">
        <f t="shared" ref="O44:O52" si="3">L44-J44+1</f>
        <v>2</v>
      </c>
      <c r="P44" s="33">
        <f t="shared" si="2"/>
        <v>3.9</v>
      </c>
      <c r="Q44" s="1"/>
      <c r="R44" s="1"/>
      <c r="S44" s="1"/>
      <c r="T44" s="1"/>
      <c r="U44" s="1"/>
      <c r="V44" s="1"/>
      <c r="W44" s="1"/>
      <c r="X44" s="1"/>
      <c r="Y44" s="1"/>
      <c r="Z44" s="1"/>
      <c r="AA44" s="1"/>
      <c r="AB44" s="1"/>
      <c r="AC44" s="1"/>
      <c r="AD44" s="1"/>
      <c r="AE44" s="1"/>
      <c r="AF44" s="1"/>
      <c r="AG44" s="1"/>
      <c r="AH44" s="1"/>
      <c r="AI44" s="1"/>
      <c r="AJ44" s="1"/>
      <c r="AK44" s="1"/>
      <c r="AL44" s="1"/>
      <c r="AM44" s="1"/>
      <c r="AN44" s="1"/>
      <c r="AO44" s="1"/>
    </row>
    <row r="45" s="279" customFormat="1" customHeight="1" spans="1:41">
      <c r="A45" s="27">
        <v>35</v>
      </c>
      <c r="B45" s="27" t="s">
        <v>51</v>
      </c>
      <c r="C45" s="27" t="s">
        <v>54</v>
      </c>
      <c r="D45" s="29">
        <v>1</v>
      </c>
      <c r="E45" s="29" t="s">
        <v>53</v>
      </c>
      <c r="F45" s="29">
        <v>1.95</v>
      </c>
      <c r="G45" s="29" t="s">
        <v>118</v>
      </c>
      <c r="H45" s="42">
        <v>46051</v>
      </c>
      <c r="I45" s="42"/>
      <c r="J45" s="42">
        <f t="shared" si="0"/>
        <v>46141</v>
      </c>
      <c r="K45" s="42">
        <v>46113</v>
      </c>
      <c r="L45" s="47">
        <v>46142</v>
      </c>
      <c r="M45" s="32">
        <v>30</v>
      </c>
      <c r="N45" s="32">
        <f t="shared" si="1"/>
        <v>58.5</v>
      </c>
      <c r="O45" s="29">
        <f t="shared" si="3"/>
        <v>2</v>
      </c>
      <c r="P45" s="33">
        <f t="shared" si="2"/>
        <v>3.9</v>
      </c>
      <c r="Q45" s="1"/>
      <c r="R45" s="1"/>
      <c r="S45" s="1"/>
      <c r="T45" s="1"/>
      <c r="U45" s="1"/>
      <c r="V45" s="1"/>
      <c r="W45" s="1"/>
      <c r="X45" s="1"/>
      <c r="Y45" s="1"/>
      <c r="Z45" s="1"/>
      <c r="AA45" s="1"/>
      <c r="AB45" s="1"/>
      <c r="AC45" s="1"/>
      <c r="AD45" s="1"/>
      <c r="AE45" s="1"/>
      <c r="AF45" s="1"/>
      <c r="AG45" s="1"/>
      <c r="AH45" s="1"/>
      <c r="AI45" s="1"/>
      <c r="AJ45" s="1"/>
      <c r="AK45" s="1"/>
      <c r="AL45" s="1"/>
      <c r="AM45" s="1"/>
      <c r="AN45" s="1"/>
      <c r="AO45" s="1"/>
    </row>
    <row r="46" s="279" customFormat="1" customHeight="1" spans="1:41">
      <c r="A46" s="27">
        <v>35</v>
      </c>
      <c r="B46" s="27" t="s">
        <v>51</v>
      </c>
      <c r="C46" s="27" t="s">
        <v>54</v>
      </c>
      <c r="D46" s="29">
        <v>1</v>
      </c>
      <c r="E46" s="29" t="s">
        <v>53</v>
      </c>
      <c r="F46" s="29">
        <v>1.95</v>
      </c>
      <c r="G46" s="281" t="s">
        <v>119</v>
      </c>
      <c r="H46" s="282">
        <v>46051</v>
      </c>
      <c r="I46" s="282">
        <v>46119</v>
      </c>
      <c r="J46" s="282">
        <f t="shared" si="0"/>
        <v>46141</v>
      </c>
      <c r="K46" s="42">
        <v>46113</v>
      </c>
      <c r="L46" s="47">
        <v>46142</v>
      </c>
      <c r="M46" s="32">
        <v>6</v>
      </c>
      <c r="N46" s="32">
        <f t="shared" si="1"/>
        <v>11.7</v>
      </c>
      <c r="O46" s="29">
        <v>0</v>
      </c>
      <c r="P46" s="33">
        <f t="shared" ref="P46:P48" si="4">F44*O46*D44</f>
        <v>0</v>
      </c>
      <c r="Q46" s="1"/>
      <c r="R46" s="1"/>
      <c r="S46" s="1"/>
      <c r="T46" s="1"/>
      <c r="U46" s="1"/>
      <c r="V46" s="1"/>
      <c r="W46" s="1"/>
      <c r="X46" s="1"/>
      <c r="Y46" s="1"/>
      <c r="Z46" s="1"/>
      <c r="AA46" s="1"/>
      <c r="AB46" s="1"/>
      <c r="AC46" s="1"/>
      <c r="AD46" s="1"/>
      <c r="AE46" s="1"/>
      <c r="AF46" s="1"/>
      <c r="AG46" s="1"/>
      <c r="AH46" s="1"/>
      <c r="AI46" s="1"/>
      <c r="AJ46" s="1"/>
      <c r="AK46" s="1"/>
      <c r="AL46" s="1"/>
      <c r="AM46" s="1"/>
      <c r="AN46" s="1"/>
      <c r="AO46" s="1"/>
    </row>
    <row r="47" s="279" customFormat="1" customHeight="1" spans="1:41">
      <c r="A47" s="27">
        <v>35</v>
      </c>
      <c r="B47" s="27" t="s">
        <v>51</v>
      </c>
      <c r="C47" s="27" t="s">
        <v>54</v>
      </c>
      <c r="D47" s="29">
        <v>1</v>
      </c>
      <c r="E47" s="29" t="s">
        <v>53</v>
      </c>
      <c r="F47" s="29">
        <v>1.95</v>
      </c>
      <c r="G47" s="281" t="s">
        <v>120</v>
      </c>
      <c r="H47" s="282">
        <v>46051</v>
      </c>
      <c r="I47" s="282">
        <v>46119</v>
      </c>
      <c r="J47" s="282">
        <f t="shared" si="0"/>
        <v>46141</v>
      </c>
      <c r="K47" s="42">
        <v>46113</v>
      </c>
      <c r="L47" s="47">
        <v>46142</v>
      </c>
      <c r="M47" s="32">
        <v>6</v>
      </c>
      <c r="N47" s="32">
        <f t="shared" si="1"/>
        <v>11.7</v>
      </c>
      <c r="O47" s="29">
        <v>0</v>
      </c>
      <c r="P47" s="33">
        <f t="shared" si="4"/>
        <v>0</v>
      </c>
      <c r="Q47" s="1"/>
      <c r="R47" s="1"/>
      <c r="S47" s="1"/>
      <c r="T47" s="1"/>
      <c r="U47" s="1"/>
      <c r="V47" s="1"/>
      <c r="W47" s="1"/>
      <c r="X47" s="1"/>
      <c r="Y47" s="1"/>
      <c r="Z47" s="1"/>
      <c r="AA47" s="1"/>
      <c r="AB47" s="1"/>
      <c r="AC47" s="1"/>
      <c r="AD47" s="1"/>
      <c r="AE47" s="1"/>
      <c r="AF47" s="1"/>
      <c r="AG47" s="1"/>
      <c r="AH47" s="1"/>
      <c r="AI47" s="1"/>
      <c r="AJ47" s="1"/>
      <c r="AK47" s="1"/>
      <c r="AL47" s="1"/>
      <c r="AM47" s="1"/>
      <c r="AN47" s="1"/>
      <c r="AO47" s="1"/>
    </row>
    <row r="48" s="279" customFormat="1" customHeight="1" spans="1:41">
      <c r="A48" s="27">
        <v>35</v>
      </c>
      <c r="B48" s="27" t="s">
        <v>51</v>
      </c>
      <c r="C48" s="27" t="s">
        <v>54</v>
      </c>
      <c r="D48" s="29">
        <v>1</v>
      </c>
      <c r="E48" s="29" t="s">
        <v>53</v>
      </c>
      <c r="F48" s="29">
        <v>1.95</v>
      </c>
      <c r="G48" s="281" t="s">
        <v>121</v>
      </c>
      <c r="H48" s="282">
        <v>46051</v>
      </c>
      <c r="I48" s="282">
        <v>46119</v>
      </c>
      <c r="J48" s="282">
        <f t="shared" si="0"/>
        <v>46141</v>
      </c>
      <c r="K48" s="42">
        <v>46113</v>
      </c>
      <c r="L48" s="47">
        <v>46142</v>
      </c>
      <c r="M48" s="32">
        <v>6</v>
      </c>
      <c r="N48" s="32">
        <f t="shared" si="1"/>
        <v>11.7</v>
      </c>
      <c r="O48" s="29">
        <v>0</v>
      </c>
      <c r="P48" s="33">
        <f t="shared" si="4"/>
        <v>0</v>
      </c>
      <c r="Q48" s="1"/>
      <c r="R48" s="1"/>
      <c r="S48" s="1"/>
      <c r="T48" s="1"/>
      <c r="U48" s="1"/>
      <c r="V48" s="1"/>
      <c r="W48" s="1"/>
      <c r="X48" s="1"/>
      <c r="Y48" s="1"/>
      <c r="Z48" s="1"/>
      <c r="AA48" s="1"/>
      <c r="AB48" s="1"/>
      <c r="AC48" s="1"/>
      <c r="AD48" s="1"/>
      <c r="AE48" s="1"/>
      <c r="AF48" s="1"/>
      <c r="AG48" s="1"/>
      <c r="AH48" s="1"/>
      <c r="AI48" s="1"/>
      <c r="AJ48" s="1"/>
      <c r="AK48" s="1"/>
      <c r="AL48" s="1"/>
      <c r="AM48" s="1"/>
      <c r="AN48" s="1"/>
      <c r="AO48" s="1"/>
    </row>
    <row r="49" s="279" customFormat="1" customHeight="1" spans="1:41">
      <c r="A49" s="27">
        <v>35</v>
      </c>
      <c r="B49" s="27" t="s">
        <v>51</v>
      </c>
      <c r="C49" s="27" t="s">
        <v>54</v>
      </c>
      <c r="D49" s="29">
        <v>1</v>
      </c>
      <c r="E49" s="29" t="s">
        <v>53</v>
      </c>
      <c r="F49" s="29">
        <v>1.95</v>
      </c>
      <c r="G49" s="29" t="s">
        <v>122</v>
      </c>
      <c r="H49" s="42">
        <v>46051</v>
      </c>
      <c r="I49" s="42"/>
      <c r="J49" s="42">
        <f t="shared" si="0"/>
        <v>46141</v>
      </c>
      <c r="K49" s="42">
        <v>46113</v>
      </c>
      <c r="L49" s="47">
        <v>46142</v>
      </c>
      <c r="M49" s="32">
        <v>30</v>
      </c>
      <c r="N49" s="32">
        <f t="shared" si="1"/>
        <v>58.5</v>
      </c>
      <c r="O49" s="29">
        <f t="shared" si="3"/>
        <v>2</v>
      </c>
      <c r="P49" s="33">
        <f t="shared" ref="P49:P52" si="5">O49*F49*D49</f>
        <v>3.9</v>
      </c>
      <c r="Q49" s="1"/>
      <c r="R49" s="1"/>
      <c r="S49" s="1"/>
      <c r="T49" s="1"/>
      <c r="U49" s="1"/>
      <c r="V49" s="1"/>
      <c r="W49" s="1"/>
      <c r="X49" s="1"/>
      <c r="Y49" s="1"/>
      <c r="Z49" s="1"/>
      <c r="AA49" s="1"/>
      <c r="AB49" s="1"/>
      <c r="AC49" s="1"/>
      <c r="AD49" s="1"/>
      <c r="AE49" s="1"/>
      <c r="AF49" s="1"/>
      <c r="AG49" s="1"/>
      <c r="AH49" s="1"/>
      <c r="AI49" s="1"/>
      <c r="AJ49" s="1"/>
      <c r="AK49" s="1"/>
      <c r="AL49" s="1"/>
      <c r="AM49" s="1"/>
      <c r="AN49" s="1"/>
      <c r="AO49" s="1"/>
    </row>
    <row r="50" s="279" customFormat="1" customHeight="1" spans="1:41">
      <c r="A50" s="27">
        <v>35</v>
      </c>
      <c r="B50" s="27" t="s">
        <v>51</v>
      </c>
      <c r="C50" s="27" t="s">
        <v>54</v>
      </c>
      <c r="D50" s="29">
        <v>1</v>
      </c>
      <c r="E50" s="29" t="s">
        <v>53</v>
      </c>
      <c r="F50" s="29">
        <v>1.95</v>
      </c>
      <c r="G50" s="29" t="s">
        <v>123</v>
      </c>
      <c r="H50" s="42">
        <v>46051</v>
      </c>
      <c r="I50" s="42"/>
      <c r="J50" s="42">
        <f t="shared" si="0"/>
        <v>46141</v>
      </c>
      <c r="K50" s="42">
        <v>46113</v>
      </c>
      <c r="L50" s="47">
        <v>46142</v>
      </c>
      <c r="M50" s="32">
        <v>30</v>
      </c>
      <c r="N50" s="32">
        <f t="shared" si="1"/>
        <v>58.5</v>
      </c>
      <c r="O50" s="29">
        <f t="shared" si="3"/>
        <v>2</v>
      </c>
      <c r="P50" s="33">
        <f t="shared" si="5"/>
        <v>3.9</v>
      </c>
      <c r="Q50" s="1"/>
      <c r="R50" s="1"/>
      <c r="S50" s="1"/>
      <c r="T50" s="1"/>
      <c r="U50" s="1"/>
      <c r="V50" s="1"/>
      <c r="W50" s="1"/>
      <c r="X50" s="1"/>
      <c r="Y50" s="1"/>
      <c r="Z50" s="1"/>
      <c r="AA50" s="1"/>
      <c r="AB50" s="1"/>
      <c r="AC50" s="1"/>
      <c r="AD50" s="1"/>
      <c r="AE50" s="1"/>
      <c r="AF50" s="1"/>
      <c r="AG50" s="1"/>
      <c r="AH50" s="1"/>
      <c r="AI50" s="1"/>
      <c r="AJ50" s="1"/>
      <c r="AK50" s="1"/>
      <c r="AL50" s="1"/>
      <c r="AM50" s="1"/>
      <c r="AN50" s="1"/>
      <c r="AO50" s="1"/>
    </row>
    <row r="51" s="279" customFormat="1" customHeight="1" spans="1:41">
      <c r="A51" s="27">
        <v>35</v>
      </c>
      <c r="B51" s="27" t="s">
        <v>51</v>
      </c>
      <c r="C51" s="27" t="s">
        <v>54</v>
      </c>
      <c r="D51" s="29">
        <v>1</v>
      </c>
      <c r="E51" s="29" t="s">
        <v>53</v>
      </c>
      <c r="F51" s="29">
        <v>1.95</v>
      </c>
      <c r="G51" s="174" t="s">
        <v>124</v>
      </c>
      <c r="H51" s="42">
        <v>46142</v>
      </c>
      <c r="I51" s="42"/>
      <c r="J51" s="42">
        <f t="shared" si="0"/>
        <v>46232</v>
      </c>
      <c r="K51" s="42">
        <v>46113</v>
      </c>
      <c r="L51" s="47">
        <v>46142</v>
      </c>
      <c r="M51" s="32">
        <v>30</v>
      </c>
      <c r="N51" s="32">
        <f t="shared" si="1"/>
        <v>58.5</v>
      </c>
      <c r="O51" s="29">
        <v>0</v>
      </c>
      <c r="P51" s="33">
        <f t="shared" si="5"/>
        <v>0</v>
      </c>
      <c r="Q51" s="1"/>
      <c r="R51" s="1"/>
      <c r="S51" s="1"/>
      <c r="T51" s="1"/>
      <c r="U51" s="1"/>
      <c r="V51" s="1"/>
      <c r="W51" s="1"/>
      <c r="X51" s="1"/>
      <c r="Y51" s="1"/>
      <c r="Z51" s="1"/>
      <c r="AA51" s="1"/>
      <c r="AB51" s="1"/>
      <c r="AC51" s="1"/>
      <c r="AD51" s="1"/>
      <c r="AE51" s="1"/>
      <c r="AF51" s="1"/>
      <c r="AG51" s="1"/>
      <c r="AH51" s="1"/>
      <c r="AI51" s="1"/>
      <c r="AJ51" s="1"/>
      <c r="AK51" s="1"/>
      <c r="AL51" s="1"/>
      <c r="AM51" s="1"/>
      <c r="AN51" s="1"/>
      <c r="AO51" s="1"/>
    </row>
    <row r="52" s="279" customFormat="1" customHeight="1" spans="1:41">
      <c r="A52" s="27">
        <v>35</v>
      </c>
      <c r="B52" s="27" t="s">
        <v>51</v>
      </c>
      <c r="C52" s="27" t="s">
        <v>54</v>
      </c>
      <c r="D52" s="29">
        <v>1</v>
      </c>
      <c r="E52" s="29" t="s">
        <v>53</v>
      </c>
      <c r="F52" s="29">
        <v>1.95</v>
      </c>
      <c r="G52" s="174" t="s">
        <v>125</v>
      </c>
      <c r="H52" s="42">
        <v>46142</v>
      </c>
      <c r="I52" s="42"/>
      <c r="J52" s="42">
        <f t="shared" si="0"/>
        <v>46232</v>
      </c>
      <c r="K52" s="42">
        <v>46113</v>
      </c>
      <c r="L52" s="47">
        <v>46142</v>
      </c>
      <c r="M52" s="32">
        <v>30</v>
      </c>
      <c r="N52" s="32">
        <f t="shared" si="1"/>
        <v>58.5</v>
      </c>
      <c r="O52" s="29">
        <v>0</v>
      </c>
      <c r="P52" s="33">
        <f t="shared" si="5"/>
        <v>0</v>
      </c>
      <c r="Q52" s="1"/>
      <c r="R52" s="1"/>
      <c r="S52" s="1"/>
      <c r="T52" s="1"/>
      <c r="U52" s="1"/>
      <c r="V52" s="1"/>
      <c r="W52" s="1"/>
      <c r="X52" s="1"/>
      <c r="Y52" s="1"/>
      <c r="Z52" s="1"/>
      <c r="AA52" s="1"/>
      <c r="AB52" s="1"/>
      <c r="AC52" s="1"/>
      <c r="AD52" s="1"/>
      <c r="AE52" s="1"/>
      <c r="AF52" s="1"/>
      <c r="AG52" s="1"/>
      <c r="AH52" s="1"/>
      <c r="AI52" s="1"/>
      <c r="AJ52" s="1"/>
      <c r="AK52" s="1"/>
      <c r="AL52" s="1"/>
      <c r="AM52" s="1"/>
      <c r="AN52" s="1"/>
      <c r="AO52" s="1"/>
    </row>
    <row r="53" s="21" customFormat="1" ht="34" customHeight="1" spans="1:41">
      <c r="A53" s="29" t="s">
        <v>126</v>
      </c>
      <c r="B53" s="29"/>
      <c r="C53" s="29"/>
      <c r="D53" s="29">
        <f>SUM(D3:D50)</f>
        <v>10</v>
      </c>
      <c r="E53" s="29" t="s">
        <v>127</v>
      </c>
      <c r="F53" s="29"/>
      <c r="G53" s="29"/>
      <c r="H53" s="29"/>
      <c r="I53" s="29"/>
      <c r="J53" s="29"/>
      <c r="K53" s="29"/>
      <c r="L53" s="29"/>
      <c r="M53" s="29"/>
      <c r="N53" s="33">
        <f>SUM(N3:N52)</f>
        <v>1981.8</v>
      </c>
      <c r="O53" s="147"/>
      <c r="P53" s="283">
        <f>SUM(P3:P52)</f>
        <v>121.98</v>
      </c>
      <c r="Q53" s="44"/>
    </row>
    <row r="54" s="279" customFormat="1" customHeight="1" spans="1:41">
      <c r="A54" s="284"/>
      <c r="B54" s="284"/>
      <c r="C54" s="284"/>
      <c r="D54" s="21"/>
      <c r="E54" s="21"/>
      <c r="F54" s="21"/>
      <c r="G54" s="21"/>
      <c r="H54" s="285"/>
      <c r="I54" s="285"/>
      <c r="J54" s="285"/>
      <c r="K54" s="285"/>
      <c r="L54" s="285"/>
      <c r="M54" s="21"/>
      <c r="N54" s="214"/>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s="279" customFormat="1" customHeight="1" spans="1:41">
      <c r="A55" s="286">
        <v>46113</v>
      </c>
      <c r="B55" s="287" t="s">
        <v>128</v>
      </c>
      <c r="C55" s="287">
        <v>3</v>
      </c>
      <c r="D55" s="58"/>
      <c r="E55" s="58"/>
      <c r="F55" s="58"/>
      <c r="G55" s="58"/>
      <c r="H55" s="58"/>
      <c r="I55" s="58"/>
      <c r="J55" s="58"/>
      <c r="K55" s="58"/>
      <c r="L55" s="58"/>
      <c r="M55" s="58"/>
      <c r="N55" s="58"/>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s="279" customFormat="1" customHeight="1" spans="1:41">
      <c r="A56" s="18"/>
      <c r="B56" s="18" t="s">
        <v>129</v>
      </c>
      <c r="C56" s="18">
        <v>0</v>
      </c>
      <c r="D56" s="58"/>
      <c r="E56" s="58"/>
      <c r="F56" s="58"/>
      <c r="G56" s="58"/>
      <c r="H56" s="58"/>
      <c r="I56" s="58"/>
      <c r="J56" s="58"/>
      <c r="K56" s="58"/>
      <c r="L56" s="58"/>
      <c r="M56" s="58"/>
      <c r="N56" s="58"/>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8" s="21" customFormat="1" ht="34" customHeight="1" spans="1:41">
      <c r="A58" s="43" t="s">
        <v>130</v>
      </c>
      <c r="B58" s="43"/>
      <c r="C58" s="43"/>
      <c r="D58" s="43"/>
      <c r="E58" s="43"/>
      <c r="F58" s="43"/>
      <c r="G58" s="43"/>
      <c r="H58" s="43"/>
      <c r="I58" s="43"/>
      <c r="J58" s="43"/>
      <c r="K58" s="43"/>
      <c r="L58" s="43"/>
      <c r="M58" s="43"/>
      <c r="N58" s="43"/>
      <c r="O58" s="43"/>
      <c r="P58" s="43"/>
    </row>
    <row r="59" s="21" customFormat="1" ht="34" customHeight="1" spans="1:41">
      <c r="A59" s="35" t="s">
        <v>16</v>
      </c>
      <c r="B59" s="35" t="s">
        <v>17</v>
      </c>
      <c r="C59" s="35" t="s">
        <v>18</v>
      </c>
      <c r="D59" s="35" t="s">
        <v>65</v>
      </c>
      <c r="E59" s="35" t="s">
        <v>46</v>
      </c>
      <c r="F59" s="35" t="s">
        <v>66</v>
      </c>
      <c r="G59" s="35" t="s">
        <v>67</v>
      </c>
      <c r="H59" s="35" t="s">
        <v>43</v>
      </c>
      <c r="I59" s="35" t="s">
        <v>68</v>
      </c>
      <c r="J59" s="35" t="s">
        <v>69</v>
      </c>
      <c r="K59" s="35" t="s">
        <v>70</v>
      </c>
      <c r="L59" s="35" t="s">
        <v>71</v>
      </c>
      <c r="M59" s="36" t="s">
        <v>72</v>
      </c>
      <c r="N59" s="36" t="s">
        <v>73</v>
      </c>
      <c r="O59" s="35" t="s">
        <v>74</v>
      </c>
      <c r="P59" s="35" t="s">
        <v>75</v>
      </c>
    </row>
    <row r="60" s="21" customFormat="1" ht="34" customHeight="1" spans="1:41">
      <c r="A60" s="260">
        <v>11</v>
      </c>
      <c r="B60" s="260" t="s">
        <v>25</v>
      </c>
      <c r="C60" s="260" t="s">
        <v>26</v>
      </c>
      <c r="D60" s="260">
        <v>8</v>
      </c>
      <c r="E60" s="260" t="s">
        <v>53</v>
      </c>
      <c r="F60" s="261">
        <v>480.2</v>
      </c>
      <c r="G60" s="262"/>
      <c r="H60" s="263">
        <v>45915</v>
      </c>
      <c r="I60" s="263"/>
      <c r="J60" s="263">
        <f>H60+90</f>
        <v>46005</v>
      </c>
      <c r="K60" s="263">
        <v>46113</v>
      </c>
      <c r="L60" s="263">
        <v>46142</v>
      </c>
      <c r="M60" s="262">
        <f>L60-K60+1</f>
        <v>30</v>
      </c>
      <c r="N60" s="265">
        <f>M60*F60*D60</f>
        <v>115248</v>
      </c>
      <c r="O60" s="262">
        <v>30</v>
      </c>
      <c r="P60" s="265">
        <v>115248</v>
      </c>
    </row>
    <row r="61" s="21" customFormat="1" ht="34" customHeight="1" spans="1:41">
      <c r="A61" s="23" t="s">
        <v>131</v>
      </c>
      <c r="B61" s="24"/>
      <c r="C61" s="24"/>
      <c r="D61" s="24"/>
      <c r="E61" s="24"/>
      <c r="F61" s="24"/>
      <c r="G61" s="24"/>
      <c r="H61" s="24"/>
      <c r="I61" s="24"/>
      <c r="J61" s="24"/>
      <c r="K61" s="24"/>
      <c r="L61" s="24"/>
      <c r="M61" s="24"/>
      <c r="N61" s="24"/>
      <c r="O61" s="24"/>
      <c r="P61" s="24"/>
    </row>
    <row r="62" s="21" customFormat="1" ht="34" customHeight="1" spans="1:41">
      <c r="A62" s="35" t="s">
        <v>16</v>
      </c>
      <c r="B62" s="35" t="s">
        <v>17</v>
      </c>
      <c r="C62" s="35" t="s">
        <v>18</v>
      </c>
      <c r="D62" s="35" t="s">
        <v>65</v>
      </c>
      <c r="E62" s="35" t="s">
        <v>46</v>
      </c>
      <c r="F62" s="35" t="s">
        <v>66</v>
      </c>
      <c r="G62" s="35" t="s">
        <v>67</v>
      </c>
      <c r="H62" s="35" t="s">
        <v>43</v>
      </c>
      <c r="I62" s="35" t="s">
        <v>68</v>
      </c>
      <c r="J62" s="35" t="s">
        <v>69</v>
      </c>
      <c r="K62" s="35" t="s">
        <v>70</v>
      </c>
      <c r="L62" s="35" t="s">
        <v>71</v>
      </c>
      <c r="M62" s="36" t="s">
        <v>72</v>
      </c>
      <c r="N62" s="36" t="s">
        <v>73</v>
      </c>
      <c r="O62" s="35" t="s">
        <v>74</v>
      </c>
      <c r="P62" s="35" t="s">
        <v>75</v>
      </c>
    </row>
    <row r="63" s="21" customFormat="1" ht="34" customHeight="1" spans="1:41">
      <c r="A63" s="260">
        <v>21</v>
      </c>
      <c r="B63" s="260" t="s">
        <v>23</v>
      </c>
      <c r="C63" s="260" t="s">
        <v>24</v>
      </c>
      <c r="D63" s="260">
        <v>53</v>
      </c>
      <c r="E63" s="260" t="s">
        <v>53</v>
      </c>
      <c r="F63" s="261">
        <v>71.04</v>
      </c>
      <c r="G63" s="262"/>
      <c r="H63" s="263">
        <v>45915</v>
      </c>
      <c r="I63" s="263"/>
      <c r="J63" s="263">
        <f>H63+90</f>
        <v>46005</v>
      </c>
      <c r="K63" s="263">
        <v>46113</v>
      </c>
      <c r="L63" s="263">
        <v>46142</v>
      </c>
      <c r="M63" s="262">
        <f>L63-K63+1</f>
        <v>30</v>
      </c>
      <c r="N63" s="265">
        <f>M63*D63*F63</f>
        <v>112953.6</v>
      </c>
      <c r="O63" s="288">
        <v>30</v>
      </c>
      <c r="P63" s="289">
        <v>112953.6</v>
      </c>
    </row>
    <row r="64" s="21" customFormat="1" ht="34" customHeight="1" spans="1:41">
      <c r="A64" s="23" t="s">
        <v>132</v>
      </c>
      <c r="B64" s="24"/>
      <c r="C64" s="24"/>
      <c r="D64" s="24"/>
      <c r="E64" s="24"/>
      <c r="F64" s="24"/>
      <c r="G64" s="24"/>
      <c r="H64" s="24"/>
      <c r="I64" s="24"/>
      <c r="J64" s="24"/>
      <c r="K64" s="24"/>
      <c r="L64" s="24"/>
      <c r="M64" s="24"/>
      <c r="N64" s="24"/>
      <c r="O64" s="24"/>
      <c r="P64" s="24"/>
    </row>
    <row r="65" s="21" customFormat="1" ht="34" customHeight="1" spans="1:17">
      <c r="A65" s="35" t="s">
        <v>16</v>
      </c>
      <c r="B65" s="35" t="s">
        <v>17</v>
      </c>
      <c r="C65" s="35" t="s">
        <v>18</v>
      </c>
      <c r="D65" s="35" t="s">
        <v>65</v>
      </c>
      <c r="E65" s="35" t="s">
        <v>46</v>
      </c>
      <c r="F65" s="35" t="s">
        <v>66</v>
      </c>
      <c r="G65" s="35" t="s">
        <v>67</v>
      </c>
      <c r="H65" s="35" t="s">
        <v>43</v>
      </c>
      <c r="I65" s="35" t="s">
        <v>68</v>
      </c>
      <c r="J65" s="35" t="s">
        <v>69</v>
      </c>
      <c r="K65" s="35" t="s">
        <v>70</v>
      </c>
      <c r="L65" s="35" t="s">
        <v>71</v>
      </c>
      <c r="M65" s="36" t="s">
        <v>72</v>
      </c>
      <c r="N65" s="36" t="s">
        <v>73</v>
      </c>
      <c r="O65" s="35" t="s">
        <v>74</v>
      </c>
      <c r="P65" s="35" t="s">
        <v>75</v>
      </c>
    </row>
    <row r="66" s="21" customFormat="1" ht="34" customHeight="1" spans="1:17">
      <c r="A66" s="14">
        <v>50</v>
      </c>
      <c r="B66" s="14" t="s">
        <v>30</v>
      </c>
      <c r="C66" s="14" t="s">
        <v>31</v>
      </c>
      <c r="D66" s="14">
        <v>1</v>
      </c>
      <c r="E66" s="14" t="s">
        <v>53</v>
      </c>
      <c r="F66" s="63">
        <v>22.77</v>
      </c>
      <c r="G66" s="19"/>
      <c r="H66" s="64">
        <v>45915</v>
      </c>
      <c r="I66" s="158">
        <v>46126</v>
      </c>
      <c r="J66" s="64">
        <f t="shared" ref="J66:J128" si="6">H66+90</f>
        <v>46005</v>
      </c>
      <c r="K66" s="64">
        <v>46113</v>
      </c>
      <c r="L66" s="64">
        <v>46125</v>
      </c>
      <c r="M66" s="195">
        <v>13</v>
      </c>
      <c r="N66" s="290">
        <f t="shared" ref="N66:N128" si="7">M66*F66*D66</f>
        <v>296.01</v>
      </c>
      <c r="O66" s="19">
        <f t="shared" ref="O66:O126" si="8">L66-K66+1</f>
        <v>13</v>
      </c>
      <c r="P66" s="67">
        <f t="shared" ref="P66:P128" si="9">O66*F66*D66</f>
        <v>296.01</v>
      </c>
      <c r="Q66" s="146" t="s">
        <v>133</v>
      </c>
    </row>
    <row r="67" s="21" customFormat="1" ht="34" customHeight="1"/>
    <row r="68" s="21" customFormat="1" ht="34" customHeight="1" spans="1:17">
      <c r="A68" s="197" t="s">
        <v>134</v>
      </c>
      <c r="B68" s="198"/>
      <c r="C68" s="198"/>
      <c r="D68" s="198"/>
      <c r="E68" s="198"/>
      <c r="F68" s="198"/>
      <c r="G68" s="198"/>
      <c r="H68" s="198"/>
      <c r="I68" s="198"/>
      <c r="J68" s="198"/>
      <c r="K68" s="198"/>
      <c r="L68" s="198"/>
      <c r="M68" s="198"/>
      <c r="N68" s="198"/>
      <c r="O68" s="198"/>
      <c r="P68" s="199"/>
    </row>
    <row r="69" s="21" customFormat="1" ht="34" customHeight="1" spans="1:17">
      <c r="A69" s="25" t="s">
        <v>16</v>
      </c>
      <c r="B69" s="25" t="s">
        <v>17</v>
      </c>
      <c r="C69" s="25" t="s">
        <v>18</v>
      </c>
      <c r="D69" s="25" t="s">
        <v>65</v>
      </c>
      <c r="E69" s="25" t="s">
        <v>46</v>
      </c>
      <c r="F69" s="25" t="s">
        <v>66</v>
      </c>
      <c r="G69" s="25" t="s">
        <v>67</v>
      </c>
      <c r="H69" s="25" t="s">
        <v>43</v>
      </c>
      <c r="I69" s="25" t="s">
        <v>68</v>
      </c>
      <c r="J69" s="25" t="s">
        <v>69</v>
      </c>
      <c r="K69" s="25" t="s">
        <v>70</v>
      </c>
      <c r="L69" s="25" t="s">
        <v>71</v>
      </c>
      <c r="M69" s="26" t="s">
        <v>72</v>
      </c>
      <c r="N69" s="26" t="s">
        <v>73</v>
      </c>
      <c r="O69" s="25" t="s">
        <v>74</v>
      </c>
      <c r="P69" s="25" t="s">
        <v>75</v>
      </c>
      <c r="Q69" s="44"/>
    </row>
    <row r="70" s="21" customFormat="1" ht="34" customHeight="1" spans="1:17">
      <c r="A70" s="27">
        <v>26</v>
      </c>
      <c r="B70" s="27" t="s">
        <v>21</v>
      </c>
      <c r="C70" s="27" t="s">
        <v>22</v>
      </c>
      <c r="D70" s="29">
        <v>1</v>
      </c>
      <c r="E70" s="27" t="s">
        <v>53</v>
      </c>
      <c r="F70" s="28">
        <v>5.53</v>
      </c>
      <c r="G70" s="29" t="s">
        <v>77</v>
      </c>
      <c r="H70" s="39">
        <v>45915</v>
      </c>
      <c r="I70" s="30"/>
      <c r="J70" s="30">
        <f t="shared" si="6"/>
        <v>46005</v>
      </c>
      <c r="K70" s="30">
        <v>46113</v>
      </c>
      <c r="L70" s="30">
        <v>46142</v>
      </c>
      <c r="M70" s="32">
        <v>30</v>
      </c>
      <c r="N70" s="291">
        <f t="shared" si="7"/>
        <v>165.9</v>
      </c>
      <c r="O70" s="40">
        <f t="shared" si="8"/>
        <v>30</v>
      </c>
      <c r="P70" s="33">
        <f t="shared" si="9"/>
        <v>165.9</v>
      </c>
      <c r="Q70" s="44"/>
    </row>
    <row r="71" s="21" customFormat="1" ht="34" customHeight="1" spans="1:17">
      <c r="A71" s="27">
        <v>26</v>
      </c>
      <c r="B71" s="27" t="s">
        <v>21</v>
      </c>
      <c r="C71" s="27" t="s">
        <v>22</v>
      </c>
      <c r="D71" s="29">
        <v>1</v>
      </c>
      <c r="E71" s="27" t="s">
        <v>53</v>
      </c>
      <c r="F71" s="28">
        <v>5.53</v>
      </c>
      <c r="G71" s="29" t="s">
        <v>123</v>
      </c>
      <c r="H71" s="39">
        <v>45915</v>
      </c>
      <c r="I71" s="30"/>
      <c r="J71" s="30">
        <f t="shared" si="6"/>
        <v>46005</v>
      </c>
      <c r="K71" s="30">
        <v>46113</v>
      </c>
      <c r="L71" s="30">
        <v>46142</v>
      </c>
      <c r="M71" s="32">
        <v>30</v>
      </c>
      <c r="N71" s="291">
        <f t="shared" si="7"/>
        <v>165.9</v>
      </c>
      <c r="O71" s="40">
        <f t="shared" si="8"/>
        <v>30</v>
      </c>
      <c r="P71" s="33">
        <f t="shared" si="9"/>
        <v>165.9</v>
      </c>
      <c r="Q71" s="44"/>
    </row>
    <row r="72" s="21" customFormat="1" ht="34" customHeight="1" spans="1:17">
      <c r="A72" s="27">
        <v>26</v>
      </c>
      <c r="B72" s="27" t="s">
        <v>21</v>
      </c>
      <c r="C72" s="27" t="s">
        <v>22</v>
      </c>
      <c r="D72" s="29">
        <v>1</v>
      </c>
      <c r="E72" s="27" t="s">
        <v>53</v>
      </c>
      <c r="F72" s="28">
        <v>5.53</v>
      </c>
      <c r="G72" s="29" t="s">
        <v>122</v>
      </c>
      <c r="H72" s="39">
        <v>45915</v>
      </c>
      <c r="I72" s="30"/>
      <c r="J72" s="30">
        <f t="shared" si="6"/>
        <v>46005</v>
      </c>
      <c r="K72" s="30">
        <v>46113</v>
      </c>
      <c r="L72" s="30">
        <v>46142</v>
      </c>
      <c r="M72" s="32">
        <v>30</v>
      </c>
      <c r="N72" s="291">
        <f t="shared" si="7"/>
        <v>165.9</v>
      </c>
      <c r="O72" s="40">
        <f t="shared" si="8"/>
        <v>30</v>
      </c>
      <c r="P72" s="33">
        <f t="shared" si="9"/>
        <v>165.9</v>
      </c>
      <c r="Q72" s="44"/>
    </row>
    <row r="73" s="21" customFormat="1" ht="34" customHeight="1" spans="1:17">
      <c r="A73" s="27">
        <v>26</v>
      </c>
      <c r="B73" s="27" t="s">
        <v>21</v>
      </c>
      <c r="C73" s="27" t="s">
        <v>22</v>
      </c>
      <c r="D73" s="29">
        <v>1</v>
      </c>
      <c r="E73" s="27" t="s">
        <v>53</v>
      </c>
      <c r="F73" s="28">
        <v>5.53</v>
      </c>
      <c r="G73" s="29" t="s">
        <v>121</v>
      </c>
      <c r="H73" s="39">
        <v>45915</v>
      </c>
      <c r="I73" s="30"/>
      <c r="J73" s="30">
        <f t="shared" si="6"/>
        <v>46005</v>
      </c>
      <c r="K73" s="30">
        <v>46113</v>
      </c>
      <c r="L73" s="30">
        <v>46142</v>
      </c>
      <c r="M73" s="32">
        <v>30</v>
      </c>
      <c r="N73" s="291">
        <f t="shared" si="7"/>
        <v>165.9</v>
      </c>
      <c r="O73" s="40">
        <f t="shared" si="8"/>
        <v>30</v>
      </c>
      <c r="P73" s="33">
        <f t="shared" si="9"/>
        <v>165.9</v>
      </c>
      <c r="Q73" s="44"/>
    </row>
    <row r="74" s="21" customFormat="1" ht="34" customHeight="1" spans="1:17">
      <c r="A74" s="27">
        <v>26</v>
      </c>
      <c r="B74" s="27" t="s">
        <v>21</v>
      </c>
      <c r="C74" s="27" t="s">
        <v>22</v>
      </c>
      <c r="D74" s="29">
        <v>1</v>
      </c>
      <c r="E74" s="27" t="s">
        <v>53</v>
      </c>
      <c r="F74" s="28">
        <v>5.53</v>
      </c>
      <c r="G74" s="29" t="s">
        <v>119</v>
      </c>
      <c r="H74" s="39">
        <v>45915</v>
      </c>
      <c r="I74" s="30"/>
      <c r="J74" s="30">
        <f t="shared" si="6"/>
        <v>46005</v>
      </c>
      <c r="K74" s="30">
        <v>46113</v>
      </c>
      <c r="L74" s="30">
        <v>46142</v>
      </c>
      <c r="M74" s="32">
        <v>30</v>
      </c>
      <c r="N74" s="291">
        <f t="shared" si="7"/>
        <v>165.9</v>
      </c>
      <c r="O74" s="40">
        <f t="shared" si="8"/>
        <v>30</v>
      </c>
      <c r="P74" s="33">
        <f t="shared" si="9"/>
        <v>165.9</v>
      </c>
      <c r="Q74" s="44"/>
    </row>
    <row r="75" s="21" customFormat="1" ht="34" customHeight="1" spans="1:17">
      <c r="A75" s="27">
        <v>26</v>
      </c>
      <c r="B75" s="27" t="s">
        <v>21</v>
      </c>
      <c r="C75" s="27" t="s">
        <v>22</v>
      </c>
      <c r="D75" s="29">
        <v>1</v>
      </c>
      <c r="E75" s="27" t="s">
        <v>53</v>
      </c>
      <c r="F75" s="28">
        <v>5.53</v>
      </c>
      <c r="G75" s="29" t="s">
        <v>120</v>
      </c>
      <c r="H75" s="39">
        <v>45915</v>
      </c>
      <c r="I75" s="30"/>
      <c r="J75" s="30">
        <f t="shared" si="6"/>
        <v>46005</v>
      </c>
      <c r="K75" s="30">
        <v>46113</v>
      </c>
      <c r="L75" s="30">
        <v>46142</v>
      </c>
      <c r="M75" s="32">
        <v>30</v>
      </c>
      <c r="N75" s="291">
        <f t="shared" si="7"/>
        <v>165.9</v>
      </c>
      <c r="O75" s="40">
        <f t="shared" si="8"/>
        <v>30</v>
      </c>
      <c r="P75" s="33">
        <f t="shared" si="9"/>
        <v>165.9</v>
      </c>
      <c r="Q75" s="44"/>
    </row>
    <row r="76" s="21" customFormat="1" ht="34" customHeight="1" spans="1:17">
      <c r="A76" s="27">
        <v>26</v>
      </c>
      <c r="B76" s="27" t="s">
        <v>21</v>
      </c>
      <c r="C76" s="27" t="s">
        <v>22</v>
      </c>
      <c r="D76" s="29">
        <v>1</v>
      </c>
      <c r="E76" s="27" t="s">
        <v>53</v>
      </c>
      <c r="F76" s="28">
        <v>5.53</v>
      </c>
      <c r="G76" s="29" t="s">
        <v>118</v>
      </c>
      <c r="H76" s="39">
        <v>45915</v>
      </c>
      <c r="I76" s="30"/>
      <c r="J76" s="30">
        <f t="shared" si="6"/>
        <v>46005</v>
      </c>
      <c r="K76" s="30">
        <v>46113</v>
      </c>
      <c r="L76" s="30">
        <v>46142</v>
      </c>
      <c r="M76" s="32">
        <v>30</v>
      </c>
      <c r="N76" s="291">
        <f t="shared" si="7"/>
        <v>165.9</v>
      </c>
      <c r="O76" s="40">
        <f t="shared" si="8"/>
        <v>30</v>
      </c>
      <c r="P76" s="33">
        <f t="shared" si="9"/>
        <v>165.9</v>
      </c>
      <c r="Q76" s="44"/>
    </row>
    <row r="77" s="21" customFormat="1" ht="34" customHeight="1" spans="1:17">
      <c r="A77" s="27">
        <v>26</v>
      </c>
      <c r="B77" s="27" t="s">
        <v>21</v>
      </c>
      <c r="C77" s="27" t="s">
        <v>22</v>
      </c>
      <c r="D77" s="29">
        <v>1</v>
      </c>
      <c r="E77" s="27" t="s">
        <v>53</v>
      </c>
      <c r="F77" s="28">
        <v>5.53</v>
      </c>
      <c r="G77" s="29" t="s">
        <v>117</v>
      </c>
      <c r="H77" s="39">
        <v>45915</v>
      </c>
      <c r="I77" s="30"/>
      <c r="J77" s="30">
        <f t="shared" si="6"/>
        <v>46005</v>
      </c>
      <c r="K77" s="30">
        <v>46113</v>
      </c>
      <c r="L77" s="30">
        <v>46142</v>
      </c>
      <c r="M77" s="32">
        <v>30</v>
      </c>
      <c r="N77" s="291">
        <f t="shared" si="7"/>
        <v>165.9</v>
      </c>
      <c r="O77" s="40">
        <f t="shared" si="8"/>
        <v>30</v>
      </c>
      <c r="P77" s="33">
        <f t="shared" si="9"/>
        <v>165.9</v>
      </c>
      <c r="Q77" s="44"/>
    </row>
    <row r="78" s="21" customFormat="1" ht="34" customHeight="1" spans="1:17">
      <c r="A78" s="27">
        <v>26</v>
      </c>
      <c r="B78" s="27" t="s">
        <v>21</v>
      </c>
      <c r="C78" s="27" t="s">
        <v>22</v>
      </c>
      <c r="D78" s="29">
        <v>1</v>
      </c>
      <c r="E78" s="27" t="s">
        <v>53</v>
      </c>
      <c r="F78" s="28">
        <v>5.53</v>
      </c>
      <c r="G78" s="29" t="s">
        <v>115</v>
      </c>
      <c r="H78" s="39">
        <v>45915</v>
      </c>
      <c r="I78" s="30"/>
      <c r="J78" s="30">
        <f t="shared" si="6"/>
        <v>46005</v>
      </c>
      <c r="K78" s="30">
        <v>46113</v>
      </c>
      <c r="L78" s="30">
        <v>46142</v>
      </c>
      <c r="M78" s="32">
        <v>30</v>
      </c>
      <c r="N78" s="291">
        <f t="shared" si="7"/>
        <v>165.9</v>
      </c>
      <c r="O78" s="40">
        <f t="shared" si="8"/>
        <v>30</v>
      </c>
      <c r="P78" s="33">
        <f t="shared" si="9"/>
        <v>165.9</v>
      </c>
      <c r="Q78" s="44"/>
    </row>
    <row r="79" s="21" customFormat="1" ht="34" customHeight="1" spans="1:17">
      <c r="A79" s="27">
        <v>26</v>
      </c>
      <c r="B79" s="27" t="s">
        <v>21</v>
      </c>
      <c r="C79" s="27" t="s">
        <v>22</v>
      </c>
      <c r="D79" s="29">
        <v>1</v>
      </c>
      <c r="E79" s="27" t="s">
        <v>53</v>
      </c>
      <c r="F79" s="28">
        <v>5.53</v>
      </c>
      <c r="G79" s="29" t="s">
        <v>116</v>
      </c>
      <c r="H79" s="39">
        <v>45915</v>
      </c>
      <c r="I79" s="30"/>
      <c r="J79" s="30">
        <f t="shared" si="6"/>
        <v>46005</v>
      </c>
      <c r="K79" s="30">
        <v>46113</v>
      </c>
      <c r="L79" s="30">
        <v>46142</v>
      </c>
      <c r="M79" s="32">
        <v>30</v>
      </c>
      <c r="N79" s="291">
        <f t="shared" si="7"/>
        <v>165.9</v>
      </c>
      <c r="O79" s="40">
        <f t="shared" si="8"/>
        <v>30</v>
      </c>
      <c r="P79" s="33">
        <f t="shared" si="9"/>
        <v>165.9</v>
      </c>
      <c r="Q79" s="44"/>
    </row>
    <row r="80" s="21" customFormat="1" ht="34" customHeight="1" spans="1:17">
      <c r="A80" s="27">
        <v>26</v>
      </c>
      <c r="B80" s="27" t="s">
        <v>21</v>
      </c>
      <c r="C80" s="27" t="s">
        <v>22</v>
      </c>
      <c r="D80" s="29">
        <v>1</v>
      </c>
      <c r="E80" s="27" t="s">
        <v>53</v>
      </c>
      <c r="F80" s="28">
        <v>5.53</v>
      </c>
      <c r="G80" s="29" t="s">
        <v>113</v>
      </c>
      <c r="H80" s="39">
        <v>45915</v>
      </c>
      <c r="I80" s="30"/>
      <c r="J80" s="30">
        <f t="shared" si="6"/>
        <v>46005</v>
      </c>
      <c r="K80" s="30">
        <v>46113</v>
      </c>
      <c r="L80" s="30">
        <v>46142</v>
      </c>
      <c r="M80" s="32">
        <v>30</v>
      </c>
      <c r="N80" s="291">
        <f t="shared" si="7"/>
        <v>165.9</v>
      </c>
      <c r="O80" s="40">
        <f t="shared" si="8"/>
        <v>30</v>
      </c>
      <c r="P80" s="33">
        <f t="shared" si="9"/>
        <v>165.9</v>
      </c>
      <c r="Q80" s="44"/>
    </row>
    <row r="81" s="21" customFormat="1" ht="34" customHeight="1" spans="1:17">
      <c r="A81" s="27">
        <v>26</v>
      </c>
      <c r="B81" s="27" t="s">
        <v>21</v>
      </c>
      <c r="C81" s="27" t="s">
        <v>22</v>
      </c>
      <c r="D81" s="29">
        <v>1</v>
      </c>
      <c r="E81" s="27" t="s">
        <v>53</v>
      </c>
      <c r="F81" s="28">
        <v>5.53</v>
      </c>
      <c r="G81" s="29" t="s">
        <v>114</v>
      </c>
      <c r="H81" s="39">
        <v>45915</v>
      </c>
      <c r="I81" s="30"/>
      <c r="J81" s="30">
        <f t="shared" si="6"/>
        <v>46005</v>
      </c>
      <c r="K81" s="30">
        <v>46113</v>
      </c>
      <c r="L81" s="30">
        <v>46142</v>
      </c>
      <c r="M81" s="32">
        <v>30</v>
      </c>
      <c r="N81" s="291">
        <f t="shared" si="7"/>
        <v>165.9</v>
      </c>
      <c r="O81" s="40">
        <f t="shared" si="8"/>
        <v>30</v>
      </c>
      <c r="P81" s="33">
        <f t="shared" si="9"/>
        <v>165.9</v>
      </c>
      <c r="Q81" s="44"/>
    </row>
    <row r="82" s="21" customFormat="1" ht="34" customHeight="1" spans="1:17">
      <c r="A82" s="27">
        <v>26</v>
      </c>
      <c r="B82" s="27" t="s">
        <v>21</v>
      </c>
      <c r="C82" s="27" t="s">
        <v>22</v>
      </c>
      <c r="D82" s="29">
        <v>1</v>
      </c>
      <c r="E82" s="27" t="s">
        <v>53</v>
      </c>
      <c r="F82" s="28">
        <v>5.53</v>
      </c>
      <c r="G82" s="29" t="s">
        <v>112</v>
      </c>
      <c r="H82" s="39">
        <v>45915</v>
      </c>
      <c r="I82" s="30"/>
      <c r="J82" s="30">
        <f t="shared" si="6"/>
        <v>46005</v>
      </c>
      <c r="K82" s="30">
        <v>46113</v>
      </c>
      <c r="L82" s="30">
        <v>46142</v>
      </c>
      <c r="M82" s="32">
        <v>30</v>
      </c>
      <c r="N82" s="291">
        <f t="shared" si="7"/>
        <v>165.9</v>
      </c>
      <c r="O82" s="40">
        <f t="shared" si="8"/>
        <v>30</v>
      </c>
      <c r="P82" s="33">
        <f t="shared" si="9"/>
        <v>165.9</v>
      </c>
      <c r="Q82" s="44"/>
    </row>
    <row r="83" s="21" customFormat="1" ht="34" customHeight="1" spans="1:17">
      <c r="A83" s="27">
        <v>26</v>
      </c>
      <c r="B83" s="27" t="s">
        <v>21</v>
      </c>
      <c r="C83" s="27" t="s">
        <v>22</v>
      </c>
      <c r="D83" s="29">
        <v>1</v>
      </c>
      <c r="E83" s="27" t="s">
        <v>53</v>
      </c>
      <c r="F83" s="28">
        <v>5.53</v>
      </c>
      <c r="G83" s="29" t="s">
        <v>110</v>
      </c>
      <c r="H83" s="39">
        <v>45915</v>
      </c>
      <c r="I83" s="30"/>
      <c r="J83" s="30">
        <f t="shared" si="6"/>
        <v>46005</v>
      </c>
      <c r="K83" s="30">
        <v>46113</v>
      </c>
      <c r="L83" s="30">
        <v>46142</v>
      </c>
      <c r="M83" s="32">
        <v>30</v>
      </c>
      <c r="N83" s="291">
        <f t="shared" si="7"/>
        <v>165.9</v>
      </c>
      <c r="O83" s="40">
        <f t="shared" si="8"/>
        <v>30</v>
      </c>
      <c r="P83" s="33">
        <f t="shared" si="9"/>
        <v>165.9</v>
      </c>
      <c r="Q83" s="44"/>
    </row>
    <row r="84" s="21" customFormat="1" ht="34" customHeight="1" spans="1:17">
      <c r="A84" s="27">
        <v>26</v>
      </c>
      <c r="B84" s="27" t="s">
        <v>21</v>
      </c>
      <c r="C84" s="27" t="s">
        <v>22</v>
      </c>
      <c r="D84" s="29">
        <v>1</v>
      </c>
      <c r="E84" s="27" t="s">
        <v>53</v>
      </c>
      <c r="F84" s="28">
        <v>5.53</v>
      </c>
      <c r="G84" s="29" t="s">
        <v>111</v>
      </c>
      <c r="H84" s="39">
        <v>45915</v>
      </c>
      <c r="I84" s="30"/>
      <c r="J84" s="30">
        <f t="shared" si="6"/>
        <v>46005</v>
      </c>
      <c r="K84" s="30">
        <v>46113</v>
      </c>
      <c r="L84" s="30">
        <v>46142</v>
      </c>
      <c r="M84" s="32">
        <v>30</v>
      </c>
      <c r="N84" s="291">
        <f t="shared" si="7"/>
        <v>165.9</v>
      </c>
      <c r="O84" s="40">
        <f t="shared" si="8"/>
        <v>30</v>
      </c>
      <c r="P84" s="33">
        <f t="shared" si="9"/>
        <v>165.9</v>
      </c>
      <c r="Q84" s="44"/>
    </row>
    <row r="85" s="21" customFormat="1" ht="34" customHeight="1" spans="1:17">
      <c r="A85" s="27">
        <v>26</v>
      </c>
      <c r="B85" s="27" t="s">
        <v>21</v>
      </c>
      <c r="C85" s="27" t="s">
        <v>22</v>
      </c>
      <c r="D85" s="29">
        <v>1</v>
      </c>
      <c r="E85" s="27" t="s">
        <v>53</v>
      </c>
      <c r="F85" s="28">
        <v>5.53</v>
      </c>
      <c r="G85" s="29" t="s">
        <v>109</v>
      </c>
      <c r="H85" s="39">
        <v>45915</v>
      </c>
      <c r="I85" s="30"/>
      <c r="J85" s="30">
        <f t="shared" si="6"/>
        <v>46005</v>
      </c>
      <c r="K85" s="30">
        <v>46113</v>
      </c>
      <c r="L85" s="30">
        <v>46142</v>
      </c>
      <c r="M85" s="32">
        <v>30</v>
      </c>
      <c r="N85" s="291">
        <f t="shared" si="7"/>
        <v>165.9</v>
      </c>
      <c r="O85" s="40">
        <f t="shared" si="8"/>
        <v>30</v>
      </c>
      <c r="P85" s="33">
        <f t="shared" si="9"/>
        <v>165.9</v>
      </c>
      <c r="Q85" s="44"/>
    </row>
    <row r="86" s="21" customFormat="1" ht="34" customHeight="1" spans="1:17">
      <c r="A86" s="27">
        <v>26</v>
      </c>
      <c r="B86" s="27" t="s">
        <v>21</v>
      </c>
      <c r="C86" s="27" t="s">
        <v>22</v>
      </c>
      <c r="D86" s="29">
        <v>1</v>
      </c>
      <c r="E86" s="27" t="s">
        <v>53</v>
      </c>
      <c r="F86" s="28">
        <v>5.53</v>
      </c>
      <c r="G86" s="29" t="s">
        <v>107</v>
      </c>
      <c r="H86" s="39">
        <v>45915</v>
      </c>
      <c r="I86" s="30"/>
      <c r="J86" s="30">
        <f t="shared" si="6"/>
        <v>46005</v>
      </c>
      <c r="K86" s="30">
        <v>46113</v>
      </c>
      <c r="L86" s="30">
        <v>46142</v>
      </c>
      <c r="M86" s="32">
        <v>30</v>
      </c>
      <c r="N86" s="291">
        <f t="shared" si="7"/>
        <v>165.9</v>
      </c>
      <c r="O86" s="40">
        <f t="shared" si="8"/>
        <v>30</v>
      </c>
      <c r="P86" s="33">
        <f t="shared" si="9"/>
        <v>165.9</v>
      </c>
      <c r="Q86" s="44"/>
    </row>
    <row r="87" s="21" customFormat="1" ht="34" customHeight="1" spans="1:17">
      <c r="A87" s="27">
        <v>26</v>
      </c>
      <c r="B87" s="27" t="s">
        <v>21</v>
      </c>
      <c r="C87" s="27" t="s">
        <v>22</v>
      </c>
      <c r="D87" s="29">
        <v>1</v>
      </c>
      <c r="E87" s="27" t="s">
        <v>53</v>
      </c>
      <c r="F87" s="28">
        <v>5.53</v>
      </c>
      <c r="G87" s="29" t="s">
        <v>108</v>
      </c>
      <c r="H87" s="39">
        <v>45915</v>
      </c>
      <c r="I87" s="30"/>
      <c r="J87" s="30">
        <f t="shared" si="6"/>
        <v>46005</v>
      </c>
      <c r="K87" s="30">
        <v>46113</v>
      </c>
      <c r="L87" s="30">
        <v>46142</v>
      </c>
      <c r="M87" s="32">
        <v>30</v>
      </c>
      <c r="N87" s="291">
        <f t="shared" si="7"/>
        <v>165.9</v>
      </c>
      <c r="O87" s="40">
        <f t="shared" si="8"/>
        <v>30</v>
      </c>
      <c r="P87" s="33">
        <f t="shared" si="9"/>
        <v>165.9</v>
      </c>
      <c r="Q87" s="44"/>
    </row>
    <row r="88" s="21" customFormat="1" ht="34" customHeight="1" spans="1:17">
      <c r="A88" s="27">
        <v>26</v>
      </c>
      <c r="B88" s="27" t="s">
        <v>21</v>
      </c>
      <c r="C88" s="27" t="s">
        <v>22</v>
      </c>
      <c r="D88" s="29">
        <v>1</v>
      </c>
      <c r="E88" s="27" t="s">
        <v>53</v>
      </c>
      <c r="F88" s="28">
        <v>5.53</v>
      </c>
      <c r="G88" s="29" t="s">
        <v>106</v>
      </c>
      <c r="H88" s="39">
        <v>45915</v>
      </c>
      <c r="I88" s="30"/>
      <c r="J88" s="30">
        <f t="shared" si="6"/>
        <v>46005</v>
      </c>
      <c r="K88" s="30">
        <v>46113</v>
      </c>
      <c r="L88" s="30">
        <v>46142</v>
      </c>
      <c r="M88" s="32">
        <v>30</v>
      </c>
      <c r="N88" s="291">
        <f t="shared" si="7"/>
        <v>165.9</v>
      </c>
      <c r="O88" s="40">
        <f t="shared" si="8"/>
        <v>30</v>
      </c>
      <c r="P88" s="33">
        <f t="shared" si="9"/>
        <v>165.9</v>
      </c>
      <c r="Q88" s="44"/>
    </row>
    <row r="89" s="21" customFormat="1" ht="34" customHeight="1" spans="1:17">
      <c r="A89" s="27">
        <v>26</v>
      </c>
      <c r="B89" s="27" t="s">
        <v>21</v>
      </c>
      <c r="C89" s="27" t="s">
        <v>22</v>
      </c>
      <c r="D89" s="29">
        <v>1</v>
      </c>
      <c r="E89" s="27" t="s">
        <v>53</v>
      </c>
      <c r="F89" s="28">
        <v>5.53</v>
      </c>
      <c r="G89" s="29" t="s">
        <v>104</v>
      </c>
      <c r="H89" s="39">
        <v>45915</v>
      </c>
      <c r="I89" s="30"/>
      <c r="J89" s="30">
        <f t="shared" si="6"/>
        <v>46005</v>
      </c>
      <c r="K89" s="30">
        <v>46113</v>
      </c>
      <c r="L89" s="30">
        <v>46142</v>
      </c>
      <c r="M89" s="32">
        <v>30</v>
      </c>
      <c r="N89" s="291">
        <f t="shared" si="7"/>
        <v>165.9</v>
      </c>
      <c r="O89" s="40">
        <f t="shared" si="8"/>
        <v>30</v>
      </c>
      <c r="P89" s="33">
        <f t="shared" si="9"/>
        <v>165.9</v>
      </c>
      <c r="Q89" s="44"/>
    </row>
    <row r="90" s="21" customFormat="1" ht="34" customHeight="1" spans="1:17">
      <c r="A90" s="27">
        <v>26</v>
      </c>
      <c r="B90" s="27" t="s">
        <v>21</v>
      </c>
      <c r="C90" s="27" t="s">
        <v>22</v>
      </c>
      <c r="D90" s="29">
        <v>1</v>
      </c>
      <c r="E90" s="27" t="s">
        <v>53</v>
      </c>
      <c r="F90" s="28">
        <v>5.53</v>
      </c>
      <c r="G90" s="29" t="s">
        <v>105</v>
      </c>
      <c r="H90" s="39">
        <v>45915</v>
      </c>
      <c r="I90" s="30"/>
      <c r="J90" s="30">
        <f t="shared" si="6"/>
        <v>46005</v>
      </c>
      <c r="K90" s="30">
        <v>46113</v>
      </c>
      <c r="L90" s="30">
        <v>46142</v>
      </c>
      <c r="M90" s="32">
        <v>30</v>
      </c>
      <c r="N90" s="291">
        <f t="shared" si="7"/>
        <v>165.9</v>
      </c>
      <c r="O90" s="40">
        <f t="shared" si="8"/>
        <v>30</v>
      </c>
      <c r="P90" s="33">
        <f t="shared" si="9"/>
        <v>165.9</v>
      </c>
      <c r="Q90" s="44"/>
    </row>
    <row r="91" s="21" customFormat="1" ht="34" customHeight="1" spans="1:17">
      <c r="A91" s="27">
        <v>26</v>
      </c>
      <c r="B91" s="27" t="s">
        <v>21</v>
      </c>
      <c r="C91" s="27" t="s">
        <v>22</v>
      </c>
      <c r="D91" s="29">
        <v>1</v>
      </c>
      <c r="E91" s="27" t="s">
        <v>53</v>
      </c>
      <c r="F91" s="28">
        <v>5.53</v>
      </c>
      <c r="G91" s="29" t="s">
        <v>103</v>
      </c>
      <c r="H91" s="39">
        <v>45915</v>
      </c>
      <c r="I91" s="30"/>
      <c r="J91" s="30">
        <f t="shared" si="6"/>
        <v>46005</v>
      </c>
      <c r="K91" s="30">
        <v>46113</v>
      </c>
      <c r="L91" s="30">
        <v>46142</v>
      </c>
      <c r="M91" s="32">
        <v>30</v>
      </c>
      <c r="N91" s="291">
        <f t="shared" si="7"/>
        <v>165.9</v>
      </c>
      <c r="O91" s="40">
        <f t="shared" si="8"/>
        <v>30</v>
      </c>
      <c r="P91" s="33">
        <f t="shared" si="9"/>
        <v>165.9</v>
      </c>
      <c r="Q91" s="44"/>
    </row>
    <row r="92" s="21" customFormat="1" ht="34" customHeight="1" spans="1:17">
      <c r="A92" s="27">
        <v>26</v>
      </c>
      <c r="B92" s="27" t="s">
        <v>21</v>
      </c>
      <c r="C92" s="27" t="s">
        <v>22</v>
      </c>
      <c r="D92" s="29">
        <v>1</v>
      </c>
      <c r="E92" s="27" t="s">
        <v>53</v>
      </c>
      <c r="F92" s="28">
        <v>5.53</v>
      </c>
      <c r="G92" s="29" t="s">
        <v>101</v>
      </c>
      <c r="H92" s="39">
        <v>45915</v>
      </c>
      <c r="I92" s="30"/>
      <c r="J92" s="30">
        <f t="shared" si="6"/>
        <v>46005</v>
      </c>
      <c r="K92" s="30">
        <v>46113</v>
      </c>
      <c r="L92" s="30">
        <v>46142</v>
      </c>
      <c r="M92" s="32">
        <v>30</v>
      </c>
      <c r="N92" s="291">
        <f t="shared" si="7"/>
        <v>165.9</v>
      </c>
      <c r="O92" s="40">
        <f t="shared" si="8"/>
        <v>30</v>
      </c>
      <c r="P92" s="33">
        <f t="shared" si="9"/>
        <v>165.9</v>
      </c>
      <c r="Q92" s="44"/>
    </row>
    <row r="93" s="21" customFormat="1" ht="34" customHeight="1" spans="1:17">
      <c r="A93" s="27">
        <v>26</v>
      </c>
      <c r="B93" s="27" t="s">
        <v>21</v>
      </c>
      <c r="C93" s="27" t="s">
        <v>22</v>
      </c>
      <c r="D93" s="29">
        <v>1</v>
      </c>
      <c r="E93" s="27" t="s">
        <v>53</v>
      </c>
      <c r="F93" s="28">
        <v>5.53</v>
      </c>
      <c r="G93" s="29" t="s">
        <v>102</v>
      </c>
      <c r="H93" s="39">
        <v>45915</v>
      </c>
      <c r="I93" s="30"/>
      <c r="J93" s="30">
        <f t="shared" si="6"/>
        <v>46005</v>
      </c>
      <c r="K93" s="30">
        <v>46113</v>
      </c>
      <c r="L93" s="30">
        <v>46142</v>
      </c>
      <c r="M93" s="32">
        <v>30</v>
      </c>
      <c r="N93" s="291">
        <f t="shared" si="7"/>
        <v>165.9</v>
      </c>
      <c r="O93" s="40">
        <f t="shared" si="8"/>
        <v>30</v>
      </c>
      <c r="P93" s="33">
        <f t="shared" si="9"/>
        <v>165.9</v>
      </c>
      <c r="Q93" s="44"/>
    </row>
    <row r="94" s="21" customFormat="1" ht="34" customHeight="1" spans="1:17">
      <c r="A94" s="27">
        <v>26</v>
      </c>
      <c r="B94" s="27" t="s">
        <v>21</v>
      </c>
      <c r="C94" s="27" t="s">
        <v>22</v>
      </c>
      <c r="D94" s="29">
        <v>1</v>
      </c>
      <c r="E94" s="27" t="s">
        <v>53</v>
      </c>
      <c r="F94" s="28">
        <v>5.53</v>
      </c>
      <c r="G94" s="29" t="s">
        <v>99</v>
      </c>
      <c r="H94" s="39">
        <v>45915</v>
      </c>
      <c r="I94" s="30"/>
      <c r="J94" s="30">
        <f t="shared" si="6"/>
        <v>46005</v>
      </c>
      <c r="K94" s="30">
        <v>46113</v>
      </c>
      <c r="L94" s="30">
        <v>46142</v>
      </c>
      <c r="M94" s="32">
        <v>30</v>
      </c>
      <c r="N94" s="291">
        <f t="shared" si="7"/>
        <v>165.9</v>
      </c>
      <c r="O94" s="40">
        <f t="shared" si="8"/>
        <v>30</v>
      </c>
      <c r="P94" s="33">
        <f t="shared" si="9"/>
        <v>165.9</v>
      </c>
      <c r="Q94" s="44"/>
    </row>
    <row r="95" s="21" customFormat="1" ht="34" customHeight="1" spans="1:17">
      <c r="A95" s="27">
        <v>26</v>
      </c>
      <c r="B95" s="27" t="s">
        <v>21</v>
      </c>
      <c r="C95" s="27" t="s">
        <v>22</v>
      </c>
      <c r="D95" s="29">
        <v>1</v>
      </c>
      <c r="E95" s="27" t="s">
        <v>53</v>
      </c>
      <c r="F95" s="28">
        <v>5.53</v>
      </c>
      <c r="G95" s="29" t="s">
        <v>100</v>
      </c>
      <c r="H95" s="39">
        <v>45915</v>
      </c>
      <c r="I95" s="30"/>
      <c r="J95" s="30">
        <f t="shared" si="6"/>
        <v>46005</v>
      </c>
      <c r="K95" s="30">
        <v>46113</v>
      </c>
      <c r="L95" s="30">
        <v>46142</v>
      </c>
      <c r="M95" s="32">
        <v>30</v>
      </c>
      <c r="N95" s="291">
        <f t="shared" si="7"/>
        <v>165.9</v>
      </c>
      <c r="O95" s="40">
        <f t="shared" si="8"/>
        <v>30</v>
      </c>
      <c r="P95" s="33">
        <f t="shared" si="9"/>
        <v>165.9</v>
      </c>
      <c r="Q95" s="44"/>
    </row>
    <row r="96" s="21" customFormat="1" ht="34" customHeight="1" spans="1:17">
      <c r="A96" s="27">
        <v>26</v>
      </c>
      <c r="B96" s="27" t="s">
        <v>21</v>
      </c>
      <c r="C96" s="27" t="s">
        <v>22</v>
      </c>
      <c r="D96" s="29">
        <v>1</v>
      </c>
      <c r="E96" s="27" t="s">
        <v>53</v>
      </c>
      <c r="F96" s="28">
        <v>5.53</v>
      </c>
      <c r="G96" s="29" t="s">
        <v>97</v>
      </c>
      <c r="H96" s="39">
        <v>45915</v>
      </c>
      <c r="I96" s="30"/>
      <c r="J96" s="30">
        <f t="shared" si="6"/>
        <v>46005</v>
      </c>
      <c r="K96" s="30">
        <v>46113</v>
      </c>
      <c r="L96" s="30">
        <v>46142</v>
      </c>
      <c r="M96" s="32">
        <v>30</v>
      </c>
      <c r="N96" s="291">
        <f t="shared" si="7"/>
        <v>165.9</v>
      </c>
      <c r="O96" s="40">
        <f t="shared" si="8"/>
        <v>30</v>
      </c>
      <c r="P96" s="33">
        <f t="shared" si="9"/>
        <v>165.9</v>
      </c>
      <c r="Q96" s="44"/>
    </row>
    <row r="97" s="21" customFormat="1" ht="34" customHeight="1" spans="1:17">
      <c r="A97" s="27">
        <v>26</v>
      </c>
      <c r="B97" s="27" t="s">
        <v>21</v>
      </c>
      <c r="C97" s="27" t="s">
        <v>22</v>
      </c>
      <c r="D97" s="29">
        <v>1</v>
      </c>
      <c r="E97" s="27" t="s">
        <v>53</v>
      </c>
      <c r="F97" s="28">
        <v>5.53</v>
      </c>
      <c r="G97" s="29" t="s">
        <v>98</v>
      </c>
      <c r="H97" s="39">
        <v>45915</v>
      </c>
      <c r="I97" s="30"/>
      <c r="J97" s="30">
        <f t="shared" si="6"/>
        <v>46005</v>
      </c>
      <c r="K97" s="30">
        <v>46113</v>
      </c>
      <c r="L97" s="30">
        <v>46142</v>
      </c>
      <c r="M97" s="32">
        <v>30</v>
      </c>
      <c r="N97" s="291">
        <f t="shared" si="7"/>
        <v>165.9</v>
      </c>
      <c r="O97" s="40">
        <f t="shared" si="8"/>
        <v>30</v>
      </c>
      <c r="P97" s="33">
        <f t="shared" si="9"/>
        <v>165.9</v>
      </c>
      <c r="Q97" s="44"/>
    </row>
    <row r="98" s="21" customFormat="1" ht="34" customHeight="1" spans="1:17">
      <c r="A98" s="27">
        <v>26</v>
      </c>
      <c r="B98" s="27" t="s">
        <v>21</v>
      </c>
      <c r="C98" s="27" t="s">
        <v>22</v>
      </c>
      <c r="D98" s="29">
        <v>1</v>
      </c>
      <c r="E98" s="27" t="s">
        <v>53</v>
      </c>
      <c r="F98" s="28">
        <v>5.53</v>
      </c>
      <c r="G98" s="29" t="s">
        <v>96</v>
      </c>
      <c r="H98" s="39">
        <v>45915</v>
      </c>
      <c r="I98" s="30"/>
      <c r="J98" s="30">
        <f t="shared" si="6"/>
        <v>46005</v>
      </c>
      <c r="K98" s="30">
        <v>46113</v>
      </c>
      <c r="L98" s="30">
        <v>46142</v>
      </c>
      <c r="M98" s="32">
        <v>30</v>
      </c>
      <c r="N98" s="291">
        <f t="shared" si="7"/>
        <v>165.9</v>
      </c>
      <c r="O98" s="40">
        <f t="shared" si="8"/>
        <v>30</v>
      </c>
      <c r="P98" s="33">
        <f t="shared" si="9"/>
        <v>165.9</v>
      </c>
      <c r="Q98" s="44"/>
    </row>
    <row r="99" s="21" customFormat="1" ht="34" customHeight="1" spans="1:17">
      <c r="A99" s="27">
        <v>26</v>
      </c>
      <c r="B99" s="27" t="s">
        <v>21</v>
      </c>
      <c r="C99" s="27" t="s">
        <v>22</v>
      </c>
      <c r="D99" s="29">
        <v>1</v>
      </c>
      <c r="E99" s="27" t="s">
        <v>53</v>
      </c>
      <c r="F99" s="28">
        <v>5.53</v>
      </c>
      <c r="G99" s="29" t="s">
        <v>94</v>
      </c>
      <c r="H99" s="39">
        <v>45915</v>
      </c>
      <c r="I99" s="30"/>
      <c r="J99" s="30">
        <f t="shared" si="6"/>
        <v>46005</v>
      </c>
      <c r="K99" s="30">
        <v>46113</v>
      </c>
      <c r="L99" s="30">
        <v>46142</v>
      </c>
      <c r="M99" s="32">
        <v>30</v>
      </c>
      <c r="N99" s="291">
        <f t="shared" si="7"/>
        <v>165.9</v>
      </c>
      <c r="O99" s="40">
        <f t="shared" si="8"/>
        <v>30</v>
      </c>
      <c r="P99" s="33">
        <f t="shared" si="9"/>
        <v>165.9</v>
      </c>
      <c r="Q99" s="44"/>
    </row>
    <row r="100" s="21" customFormat="1" ht="34" customHeight="1" spans="1:17">
      <c r="A100" s="27">
        <v>26</v>
      </c>
      <c r="B100" s="27" t="s">
        <v>21</v>
      </c>
      <c r="C100" s="27" t="s">
        <v>22</v>
      </c>
      <c r="D100" s="29">
        <v>1</v>
      </c>
      <c r="E100" s="27" t="s">
        <v>53</v>
      </c>
      <c r="F100" s="28">
        <v>5.53</v>
      </c>
      <c r="G100" s="29" t="s">
        <v>95</v>
      </c>
      <c r="H100" s="39">
        <v>45915</v>
      </c>
      <c r="I100" s="30"/>
      <c r="J100" s="30">
        <f t="shared" si="6"/>
        <v>46005</v>
      </c>
      <c r="K100" s="30">
        <v>46113</v>
      </c>
      <c r="L100" s="30">
        <v>46142</v>
      </c>
      <c r="M100" s="32">
        <v>30</v>
      </c>
      <c r="N100" s="291">
        <f t="shared" si="7"/>
        <v>165.9</v>
      </c>
      <c r="O100" s="40">
        <f t="shared" si="8"/>
        <v>30</v>
      </c>
      <c r="P100" s="33">
        <f t="shared" si="9"/>
        <v>165.9</v>
      </c>
      <c r="Q100" s="44"/>
    </row>
    <row r="101" s="21" customFormat="1" ht="34" customHeight="1" spans="1:17">
      <c r="A101" s="27">
        <v>26</v>
      </c>
      <c r="B101" s="27" t="s">
        <v>21</v>
      </c>
      <c r="C101" s="27" t="s">
        <v>22</v>
      </c>
      <c r="D101" s="29">
        <v>1</v>
      </c>
      <c r="E101" s="27" t="s">
        <v>53</v>
      </c>
      <c r="F101" s="28">
        <v>5.53</v>
      </c>
      <c r="G101" s="29" t="s">
        <v>93</v>
      </c>
      <c r="H101" s="39">
        <v>45915</v>
      </c>
      <c r="I101" s="30"/>
      <c r="J101" s="30">
        <f t="shared" si="6"/>
        <v>46005</v>
      </c>
      <c r="K101" s="30">
        <v>46113</v>
      </c>
      <c r="L101" s="30">
        <v>46142</v>
      </c>
      <c r="M101" s="32">
        <v>30</v>
      </c>
      <c r="N101" s="291">
        <f t="shared" si="7"/>
        <v>165.9</v>
      </c>
      <c r="O101" s="40">
        <f t="shared" si="8"/>
        <v>30</v>
      </c>
      <c r="P101" s="33">
        <f t="shared" si="9"/>
        <v>165.9</v>
      </c>
      <c r="Q101" s="44"/>
    </row>
    <row r="102" s="21" customFormat="1" ht="34" customHeight="1" spans="1:17">
      <c r="A102" s="27">
        <v>26</v>
      </c>
      <c r="B102" s="27" t="s">
        <v>21</v>
      </c>
      <c r="C102" s="27" t="s">
        <v>22</v>
      </c>
      <c r="D102" s="29">
        <v>1</v>
      </c>
      <c r="E102" s="27" t="s">
        <v>53</v>
      </c>
      <c r="F102" s="28">
        <v>5.53</v>
      </c>
      <c r="G102" s="29" t="s">
        <v>91</v>
      </c>
      <c r="H102" s="39">
        <v>45915</v>
      </c>
      <c r="I102" s="30"/>
      <c r="J102" s="30">
        <f t="shared" si="6"/>
        <v>46005</v>
      </c>
      <c r="K102" s="30">
        <v>46113</v>
      </c>
      <c r="L102" s="30">
        <v>46142</v>
      </c>
      <c r="M102" s="32">
        <v>30</v>
      </c>
      <c r="N102" s="291">
        <f t="shared" si="7"/>
        <v>165.9</v>
      </c>
      <c r="O102" s="40">
        <f t="shared" si="8"/>
        <v>30</v>
      </c>
      <c r="P102" s="33">
        <f t="shared" si="9"/>
        <v>165.9</v>
      </c>
      <c r="Q102" s="44"/>
    </row>
    <row r="103" s="21" customFormat="1" ht="34" customHeight="1" spans="1:17">
      <c r="A103" s="27">
        <v>26</v>
      </c>
      <c r="B103" s="27" t="s">
        <v>21</v>
      </c>
      <c r="C103" s="27" t="s">
        <v>22</v>
      </c>
      <c r="D103" s="29">
        <v>1</v>
      </c>
      <c r="E103" s="27" t="s">
        <v>53</v>
      </c>
      <c r="F103" s="28">
        <v>5.53</v>
      </c>
      <c r="G103" s="29" t="s">
        <v>92</v>
      </c>
      <c r="H103" s="39">
        <v>45915</v>
      </c>
      <c r="I103" s="30"/>
      <c r="J103" s="30">
        <f t="shared" si="6"/>
        <v>46005</v>
      </c>
      <c r="K103" s="30">
        <v>46113</v>
      </c>
      <c r="L103" s="30">
        <v>46142</v>
      </c>
      <c r="M103" s="32">
        <v>30</v>
      </c>
      <c r="N103" s="291">
        <f t="shared" si="7"/>
        <v>165.9</v>
      </c>
      <c r="O103" s="40">
        <f t="shared" si="8"/>
        <v>30</v>
      </c>
      <c r="P103" s="33">
        <f t="shared" si="9"/>
        <v>165.9</v>
      </c>
      <c r="Q103" s="44"/>
    </row>
    <row r="104" s="21" customFormat="1" ht="34" customHeight="1" spans="1:17">
      <c r="A104" s="27">
        <v>26</v>
      </c>
      <c r="B104" s="27" t="s">
        <v>21</v>
      </c>
      <c r="C104" s="27" t="s">
        <v>22</v>
      </c>
      <c r="D104" s="29">
        <v>1</v>
      </c>
      <c r="E104" s="27" t="s">
        <v>53</v>
      </c>
      <c r="F104" s="28">
        <v>5.53</v>
      </c>
      <c r="G104" s="29" t="s">
        <v>90</v>
      </c>
      <c r="H104" s="39">
        <v>45915</v>
      </c>
      <c r="I104" s="30"/>
      <c r="J104" s="30">
        <f t="shared" si="6"/>
        <v>46005</v>
      </c>
      <c r="K104" s="30">
        <v>46113</v>
      </c>
      <c r="L104" s="30">
        <v>46142</v>
      </c>
      <c r="M104" s="32">
        <v>30</v>
      </c>
      <c r="N104" s="291">
        <f t="shared" si="7"/>
        <v>165.9</v>
      </c>
      <c r="O104" s="40">
        <f t="shared" si="8"/>
        <v>30</v>
      </c>
      <c r="P104" s="33">
        <f t="shared" si="9"/>
        <v>165.9</v>
      </c>
      <c r="Q104" s="44"/>
    </row>
    <row r="105" s="21" customFormat="1" ht="34" customHeight="1" spans="1:17">
      <c r="A105" s="27">
        <v>26</v>
      </c>
      <c r="B105" s="27" t="s">
        <v>21</v>
      </c>
      <c r="C105" s="27" t="s">
        <v>22</v>
      </c>
      <c r="D105" s="29">
        <v>1</v>
      </c>
      <c r="E105" s="27" t="s">
        <v>53</v>
      </c>
      <c r="F105" s="28">
        <v>5.53</v>
      </c>
      <c r="G105" s="29" t="s">
        <v>88</v>
      </c>
      <c r="H105" s="39">
        <v>45915</v>
      </c>
      <c r="I105" s="30"/>
      <c r="J105" s="30">
        <f t="shared" si="6"/>
        <v>46005</v>
      </c>
      <c r="K105" s="30">
        <v>46113</v>
      </c>
      <c r="L105" s="30">
        <v>46142</v>
      </c>
      <c r="M105" s="32">
        <v>30</v>
      </c>
      <c r="N105" s="291">
        <f t="shared" si="7"/>
        <v>165.9</v>
      </c>
      <c r="O105" s="40">
        <f t="shared" si="8"/>
        <v>30</v>
      </c>
      <c r="P105" s="33">
        <f t="shared" si="9"/>
        <v>165.9</v>
      </c>
      <c r="Q105" s="44"/>
    </row>
    <row r="106" s="21" customFormat="1" ht="34" customHeight="1" spans="1:17">
      <c r="A106" s="27">
        <v>26</v>
      </c>
      <c r="B106" s="27" t="s">
        <v>21</v>
      </c>
      <c r="C106" s="27" t="s">
        <v>22</v>
      </c>
      <c r="D106" s="29">
        <v>1</v>
      </c>
      <c r="E106" s="27" t="s">
        <v>53</v>
      </c>
      <c r="F106" s="28">
        <v>5.53</v>
      </c>
      <c r="G106" s="29" t="s">
        <v>89</v>
      </c>
      <c r="H106" s="39">
        <v>45915</v>
      </c>
      <c r="I106" s="30"/>
      <c r="J106" s="30">
        <f t="shared" si="6"/>
        <v>46005</v>
      </c>
      <c r="K106" s="30">
        <v>46113</v>
      </c>
      <c r="L106" s="30">
        <v>46142</v>
      </c>
      <c r="M106" s="32">
        <v>30</v>
      </c>
      <c r="N106" s="291">
        <f t="shared" si="7"/>
        <v>165.9</v>
      </c>
      <c r="O106" s="40">
        <f t="shared" si="8"/>
        <v>30</v>
      </c>
      <c r="P106" s="33">
        <f t="shared" si="9"/>
        <v>165.9</v>
      </c>
      <c r="Q106" s="44"/>
    </row>
    <row r="107" s="21" customFormat="1" ht="34" customHeight="1" spans="1:17">
      <c r="A107" s="27">
        <v>26</v>
      </c>
      <c r="B107" s="27" t="s">
        <v>21</v>
      </c>
      <c r="C107" s="27" t="s">
        <v>22</v>
      </c>
      <c r="D107" s="29">
        <v>1</v>
      </c>
      <c r="E107" s="27" t="s">
        <v>53</v>
      </c>
      <c r="F107" s="28">
        <v>5.53</v>
      </c>
      <c r="G107" s="29" t="s">
        <v>87</v>
      </c>
      <c r="H107" s="39">
        <v>45915</v>
      </c>
      <c r="I107" s="30"/>
      <c r="J107" s="30">
        <f t="shared" si="6"/>
        <v>46005</v>
      </c>
      <c r="K107" s="30">
        <v>46113</v>
      </c>
      <c r="L107" s="30">
        <v>46142</v>
      </c>
      <c r="M107" s="32">
        <v>30</v>
      </c>
      <c r="N107" s="291">
        <f t="shared" si="7"/>
        <v>165.9</v>
      </c>
      <c r="O107" s="40">
        <f t="shared" si="8"/>
        <v>30</v>
      </c>
      <c r="P107" s="33">
        <f t="shared" si="9"/>
        <v>165.9</v>
      </c>
      <c r="Q107" s="44"/>
    </row>
    <row r="108" s="21" customFormat="1" ht="34" customHeight="1" spans="1:17">
      <c r="A108" s="27">
        <v>26</v>
      </c>
      <c r="B108" s="27" t="s">
        <v>21</v>
      </c>
      <c r="C108" s="27" t="s">
        <v>22</v>
      </c>
      <c r="D108" s="29">
        <v>1</v>
      </c>
      <c r="E108" s="27" t="s">
        <v>53</v>
      </c>
      <c r="F108" s="28">
        <v>5.53</v>
      </c>
      <c r="G108" s="29" t="s">
        <v>86</v>
      </c>
      <c r="H108" s="39">
        <v>45915</v>
      </c>
      <c r="I108" s="30"/>
      <c r="J108" s="30">
        <f t="shared" si="6"/>
        <v>46005</v>
      </c>
      <c r="K108" s="30">
        <v>46113</v>
      </c>
      <c r="L108" s="30">
        <v>46142</v>
      </c>
      <c r="M108" s="32">
        <v>30</v>
      </c>
      <c r="N108" s="291">
        <f t="shared" si="7"/>
        <v>165.9</v>
      </c>
      <c r="O108" s="40">
        <f t="shared" si="8"/>
        <v>30</v>
      </c>
      <c r="P108" s="33">
        <f t="shared" si="9"/>
        <v>165.9</v>
      </c>
      <c r="Q108" s="44"/>
    </row>
    <row r="109" s="21" customFormat="1" ht="34" customHeight="1" spans="1:17">
      <c r="A109" s="27">
        <v>26</v>
      </c>
      <c r="B109" s="27" t="s">
        <v>21</v>
      </c>
      <c r="C109" s="27" t="s">
        <v>22</v>
      </c>
      <c r="D109" s="29">
        <v>1</v>
      </c>
      <c r="E109" s="27" t="s">
        <v>53</v>
      </c>
      <c r="F109" s="28">
        <v>5.53</v>
      </c>
      <c r="G109" s="29" t="s">
        <v>85</v>
      </c>
      <c r="H109" s="39">
        <v>45918</v>
      </c>
      <c r="I109" s="30"/>
      <c r="J109" s="30">
        <f t="shared" si="6"/>
        <v>46008</v>
      </c>
      <c r="K109" s="30">
        <v>46113</v>
      </c>
      <c r="L109" s="30">
        <v>46142</v>
      </c>
      <c r="M109" s="32">
        <v>30</v>
      </c>
      <c r="N109" s="291">
        <f t="shared" si="7"/>
        <v>165.9</v>
      </c>
      <c r="O109" s="40">
        <f t="shared" si="8"/>
        <v>30</v>
      </c>
      <c r="P109" s="33">
        <f t="shared" si="9"/>
        <v>165.9</v>
      </c>
      <c r="Q109" s="44"/>
    </row>
    <row r="110" s="21" customFormat="1" ht="34" customHeight="1" spans="1:17">
      <c r="A110" s="27">
        <v>26</v>
      </c>
      <c r="B110" s="27" t="s">
        <v>21</v>
      </c>
      <c r="C110" s="27" t="s">
        <v>22</v>
      </c>
      <c r="D110" s="29">
        <v>1</v>
      </c>
      <c r="E110" s="27" t="s">
        <v>53</v>
      </c>
      <c r="F110" s="28">
        <v>5.53</v>
      </c>
      <c r="G110" s="29" t="s">
        <v>83</v>
      </c>
      <c r="H110" s="39">
        <v>45918</v>
      </c>
      <c r="I110" s="30"/>
      <c r="J110" s="30">
        <f t="shared" si="6"/>
        <v>46008</v>
      </c>
      <c r="K110" s="30">
        <v>46113</v>
      </c>
      <c r="L110" s="30">
        <v>46142</v>
      </c>
      <c r="M110" s="32">
        <v>30</v>
      </c>
      <c r="N110" s="291">
        <f t="shared" si="7"/>
        <v>165.9</v>
      </c>
      <c r="O110" s="40">
        <f t="shared" si="8"/>
        <v>30</v>
      </c>
      <c r="P110" s="33">
        <f t="shared" si="9"/>
        <v>165.9</v>
      </c>
      <c r="Q110" s="44"/>
    </row>
    <row r="111" s="21" customFormat="1" ht="34" customHeight="1" spans="1:17">
      <c r="A111" s="27">
        <v>26</v>
      </c>
      <c r="B111" s="27" t="s">
        <v>21</v>
      </c>
      <c r="C111" s="27" t="s">
        <v>22</v>
      </c>
      <c r="D111" s="29">
        <v>1</v>
      </c>
      <c r="E111" s="27" t="s">
        <v>53</v>
      </c>
      <c r="F111" s="28">
        <v>5.53</v>
      </c>
      <c r="G111" s="29" t="s">
        <v>84</v>
      </c>
      <c r="H111" s="39">
        <v>45918</v>
      </c>
      <c r="I111" s="30"/>
      <c r="J111" s="30">
        <f t="shared" si="6"/>
        <v>46008</v>
      </c>
      <c r="K111" s="30">
        <v>46113</v>
      </c>
      <c r="L111" s="30">
        <v>46142</v>
      </c>
      <c r="M111" s="32">
        <v>30</v>
      </c>
      <c r="N111" s="291">
        <f t="shared" si="7"/>
        <v>165.9</v>
      </c>
      <c r="O111" s="40">
        <f t="shared" si="8"/>
        <v>30</v>
      </c>
      <c r="P111" s="33">
        <f t="shared" si="9"/>
        <v>165.9</v>
      </c>
      <c r="Q111" s="44"/>
    </row>
    <row r="112" s="21" customFormat="1" ht="34" customHeight="1" spans="1:17">
      <c r="A112" s="27">
        <v>26</v>
      </c>
      <c r="B112" s="27" t="s">
        <v>21</v>
      </c>
      <c r="C112" s="27" t="s">
        <v>22</v>
      </c>
      <c r="D112" s="29">
        <v>1</v>
      </c>
      <c r="E112" s="27" t="s">
        <v>53</v>
      </c>
      <c r="F112" s="28">
        <v>5.53</v>
      </c>
      <c r="G112" s="29" t="s">
        <v>81</v>
      </c>
      <c r="H112" s="39">
        <v>45918</v>
      </c>
      <c r="I112" s="30"/>
      <c r="J112" s="30">
        <f t="shared" si="6"/>
        <v>46008</v>
      </c>
      <c r="K112" s="30">
        <v>46113</v>
      </c>
      <c r="L112" s="30">
        <v>46142</v>
      </c>
      <c r="M112" s="32">
        <v>30</v>
      </c>
      <c r="N112" s="291">
        <f t="shared" si="7"/>
        <v>165.9</v>
      </c>
      <c r="O112" s="40">
        <f t="shared" si="8"/>
        <v>30</v>
      </c>
      <c r="P112" s="33">
        <f t="shared" si="9"/>
        <v>165.9</v>
      </c>
      <c r="Q112" s="44"/>
    </row>
    <row r="113" s="21" customFormat="1" ht="34" customHeight="1" spans="1:17">
      <c r="A113" s="27">
        <v>26</v>
      </c>
      <c r="B113" s="27" t="s">
        <v>21</v>
      </c>
      <c r="C113" s="27" t="s">
        <v>22</v>
      </c>
      <c r="D113" s="29">
        <v>1</v>
      </c>
      <c r="E113" s="27" t="s">
        <v>53</v>
      </c>
      <c r="F113" s="28">
        <v>5.53</v>
      </c>
      <c r="G113" s="29" t="s">
        <v>82</v>
      </c>
      <c r="H113" s="39">
        <v>45918</v>
      </c>
      <c r="I113" s="30"/>
      <c r="J113" s="30">
        <f t="shared" si="6"/>
        <v>46008</v>
      </c>
      <c r="K113" s="30">
        <v>46113</v>
      </c>
      <c r="L113" s="30">
        <v>46142</v>
      </c>
      <c r="M113" s="32">
        <v>30</v>
      </c>
      <c r="N113" s="291">
        <f t="shared" si="7"/>
        <v>165.9</v>
      </c>
      <c r="O113" s="40">
        <f t="shared" si="8"/>
        <v>30</v>
      </c>
      <c r="P113" s="33">
        <f t="shared" si="9"/>
        <v>165.9</v>
      </c>
      <c r="Q113" s="44"/>
    </row>
    <row r="114" s="21" customFormat="1" ht="34" customHeight="1" spans="1:17">
      <c r="A114" s="27">
        <v>26</v>
      </c>
      <c r="B114" s="27" t="s">
        <v>21</v>
      </c>
      <c r="C114" s="27" t="s">
        <v>22</v>
      </c>
      <c r="D114" s="29">
        <v>1</v>
      </c>
      <c r="E114" s="27" t="s">
        <v>53</v>
      </c>
      <c r="F114" s="28">
        <v>5.53</v>
      </c>
      <c r="G114" s="29" t="s">
        <v>80</v>
      </c>
      <c r="H114" s="39">
        <v>45918</v>
      </c>
      <c r="I114" s="30"/>
      <c r="J114" s="30">
        <f t="shared" si="6"/>
        <v>46008</v>
      </c>
      <c r="K114" s="30">
        <v>46113</v>
      </c>
      <c r="L114" s="30">
        <v>46142</v>
      </c>
      <c r="M114" s="32">
        <v>30</v>
      </c>
      <c r="N114" s="291">
        <f t="shared" si="7"/>
        <v>165.9</v>
      </c>
      <c r="O114" s="40">
        <f t="shared" si="8"/>
        <v>30</v>
      </c>
      <c r="P114" s="33">
        <f t="shared" si="9"/>
        <v>165.9</v>
      </c>
      <c r="Q114" s="44"/>
    </row>
    <row r="115" s="21" customFormat="1" ht="34" customHeight="1" spans="1:17">
      <c r="A115" s="27">
        <v>26</v>
      </c>
      <c r="B115" s="27" t="s">
        <v>21</v>
      </c>
      <c r="C115" s="27" t="s">
        <v>22</v>
      </c>
      <c r="D115" s="29">
        <v>1</v>
      </c>
      <c r="E115" s="27" t="s">
        <v>53</v>
      </c>
      <c r="F115" s="28">
        <v>5.53</v>
      </c>
      <c r="G115" s="29" t="s">
        <v>78</v>
      </c>
      <c r="H115" s="39">
        <v>45918</v>
      </c>
      <c r="I115" s="30"/>
      <c r="J115" s="30">
        <f t="shared" si="6"/>
        <v>46008</v>
      </c>
      <c r="K115" s="30">
        <v>46113</v>
      </c>
      <c r="L115" s="30">
        <v>46142</v>
      </c>
      <c r="M115" s="32">
        <v>30</v>
      </c>
      <c r="N115" s="291">
        <f t="shared" si="7"/>
        <v>165.9</v>
      </c>
      <c r="O115" s="40">
        <f t="shared" si="8"/>
        <v>30</v>
      </c>
      <c r="P115" s="33">
        <f t="shared" si="9"/>
        <v>165.9</v>
      </c>
      <c r="Q115" s="44"/>
    </row>
    <row r="116" s="21" customFormat="1" ht="34" customHeight="1" spans="1:17">
      <c r="A116" s="27">
        <v>26</v>
      </c>
      <c r="B116" s="27" t="s">
        <v>21</v>
      </c>
      <c r="C116" s="27" t="s">
        <v>22</v>
      </c>
      <c r="D116" s="29">
        <v>1</v>
      </c>
      <c r="E116" s="27" t="s">
        <v>53</v>
      </c>
      <c r="F116" s="28">
        <v>5.53</v>
      </c>
      <c r="G116" s="29" t="s">
        <v>79</v>
      </c>
      <c r="H116" s="39">
        <v>45918</v>
      </c>
      <c r="I116" s="30"/>
      <c r="J116" s="30">
        <f t="shared" si="6"/>
        <v>46008</v>
      </c>
      <c r="K116" s="30">
        <v>46113</v>
      </c>
      <c r="L116" s="30">
        <v>46142</v>
      </c>
      <c r="M116" s="32">
        <v>30</v>
      </c>
      <c r="N116" s="291">
        <f t="shared" si="7"/>
        <v>165.9</v>
      </c>
      <c r="O116" s="40">
        <f t="shared" si="8"/>
        <v>30</v>
      </c>
      <c r="P116" s="33">
        <f t="shared" si="9"/>
        <v>165.9</v>
      </c>
      <c r="Q116" s="44"/>
    </row>
    <row r="117" s="21" customFormat="1" ht="34" customHeight="1" spans="1:17">
      <c r="A117" s="27">
        <v>26</v>
      </c>
      <c r="B117" s="27" t="s">
        <v>21</v>
      </c>
      <c r="C117" s="27" t="s">
        <v>22</v>
      </c>
      <c r="D117" s="29">
        <v>1</v>
      </c>
      <c r="E117" s="27" t="s">
        <v>53</v>
      </c>
      <c r="F117" s="28">
        <v>5.53</v>
      </c>
      <c r="G117" s="29" t="s">
        <v>135</v>
      </c>
      <c r="H117" s="39">
        <v>45953</v>
      </c>
      <c r="I117" s="30"/>
      <c r="J117" s="30">
        <f t="shared" si="6"/>
        <v>46043</v>
      </c>
      <c r="K117" s="30">
        <v>46113</v>
      </c>
      <c r="L117" s="30">
        <v>46142</v>
      </c>
      <c r="M117" s="32">
        <v>30</v>
      </c>
      <c r="N117" s="291">
        <f t="shared" si="7"/>
        <v>165.9</v>
      </c>
      <c r="O117" s="40">
        <f t="shared" si="8"/>
        <v>30</v>
      </c>
      <c r="P117" s="33">
        <f t="shared" si="9"/>
        <v>165.9</v>
      </c>
      <c r="Q117" s="44"/>
    </row>
    <row r="118" s="21" customFormat="1" ht="34" customHeight="1" spans="1:17">
      <c r="A118" s="27">
        <v>26</v>
      </c>
      <c r="B118" s="27" t="s">
        <v>21</v>
      </c>
      <c r="C118" s="27" t="s">
        <v>22</v>
      </c>
      <c r="D118" s="29">
        <v>1</v>
      </c>
      <c r="E118" s="27" t="s">
        <v>53</v>
      </c>
      <c r="F118" s="28">
        <v>5.53</v>
      </c>
      <c r="G118" s="29" t="s">
        <v>136</v>
      </c>
      <c r="H118" s="39">
        <v>45953</v>
      </c>
      <c r="I118" s="30"/>
      <c r="J118" s="30">
        <f t="shared" si="6"/>
        <v>46043</v>
      </c>
      <c r="K118" s="30">
        <v>46113</v>
      </c>
      <c r="L118" s="30">
        <v>46142</v>
      </c>
      <c r="M118" s="32">
        <v>30</v>
      </c>
      <c r="N118" s="291">
        <f t="shared" si="7"/>
        <v>165.9</v>
      </c>
      <c r="O118" s="40">
        <f t="shared" si="8"/>
        <v>30</v>
      </c>
      <c r="P118" s="33">
        <f t="shared" si="9"/>
        <v>165.9</v>
      </c>
      <c r="Q118" s="44"/>
    </row>
    <row r="119" s="21" customFormat="1" ht="34" customHeight="1" spans="1:17">
      <c r="A119" s="27">
        <v>26</v>
      </c>
      <c r="B119" s="27" t="s">
        <v>21</v>
      </c>
      <c r="C119" s="27" t="s">
        <v>22</v>
      </c>
      <c r="D119" s="29">
        <v>1</v>
      </c>
      <c r="E119" s="27" t="s">
        <v>53</v>
      </c>
      <c r="F119" s="28">
        <v>5.53</v>
      </c>
      <c r="G119" s="29" t="s">
        <v>137</v>
      </c>
      <c r="H119" s="39">
        <v>45953</v>
      </c>
      <c r="I119" s="30"/>
      <c r="J119" s="30">
        <f t="shared" si="6"/>
        <v>46043</v>
      </c>
      <c r="K119" s="30">
        <v>46113</v>
      </c>
      <c r="L119" s="30">
        <v>46142</v>
      </c>
      <c r="M119" s="32">
        <v>30</v>
      </c>
      <c r="N119" s="291">
        <f t="shared" si="7"/>
        <v>165.9</v>
      </c>
      <c r="O119" s="40">
        <f t="shared" si="8"/>
        <v>30</v>
      </c>
      <c r="P119" s="33">
        <f t="shared" si="9"/>
        <v>165.9</v>
      </c>
      <c r="Q119" s="44"/>
    </row>
    <row r="120" s="21" customFormat="1" ht="34" customHeight="1" spans="1:17">
      <c r="A120" s="27">
        <v>26</v>
      </c>
      <c r="B120" s="27" t="s">
        <v>21</v>
      </c>
      <c r="C120" s="27" t="s">
        <v>22</v>
      </c>
      <c r="D120" s="29">
        <v>1</v>
      </c>
      <c r="E120" s="27" t="s">
        <v>53</v>
      </c>
      <c r="F120" s="28">
        <v>5.53</v>
      </c>
      <c r="G120" s="29" t="s">
        <v>138</v>
      </c>
      <c r="H120" s="39">
        <v>45953</v>
      </c>
      <c r="I120" s="30"/>
      <c r="J120" s="30">
        <f t="shared" si="6"/>
        <v>46043</v>
      </c>
      <c r="K120" s="30">
        <v>46113</v>
      </c>
      <c r="L120" s="30">
        <v>46142</v>
      </c>
      <c r="M120" s="32">
        <v>30</v>
      </c>
      <c r="N120" s="291">
        <f t="shared" si="7"/>
        <v>165.9</v>
      </c>
      <c r="O120" s="40">
        <f t="shared" si="8"/>
        <v>30</v>
      </c>
      <c r="P120" s="33">
        <f t="shared" si="9"/>
        <v>165.9</v>
      </c>
      <c r="Q120" s="44"/>
    </row>
    <row r="121" s="21" customFormat="1" ht="34" customHeight="1" spans="1:17">
      <c r="A121" s="27">
        <v>26</v>
      </c>
      <c r="B121" s="27" t="s">
        <v>21</v>
      </c>
      <c r="C121" s="27" t="s">
        <v>22</v>
      </c>
      <c r="D121" s="29">
        <v>1</v>
      </c>
      <c r="E121" s="27" t="s">
        <v>53</v>
      </c>
      <c r="F121" s="28">
        <v>5.53</v>
      </c>
      <c r="G121" s="29" t="s">
        <v>139</v>
      </c>
      <c r="H121" s="39">
        <v>45953</v>
      </c>
      <c r="I121" s="30"/>
      <c r="J121" s="30">
        <f t="shared" si="6"/>
        <v>46043</v>
      </c>
      <c r="K121" s="30">
        <v>46113</v>
      </c>
      <c r="L121" s="30">
        <v>46142</v>
      </c>
      <c r="M121" s="32">
        <v>30</v>
      </c>
      <c r="N121" s="291">
        <f t="shared" si="7"/>
        <v>165.9</v>
      </c>
      <c r="O121" s="40">
        <f t="shared" si="8"/>
        <v>30</v>
      </c>
      <c r="P121" s="33">
        <f t="shared" si="9"/>
        <v>165.9</v>
      </c>
      <c r="Q121" s="44"/>
    </row>
    <row r="122" s="21" customFormat="1" ht="34" customHeight="1" spans="1:17">
      <c r="A122" s="27">
        <v>26</v>
      </c>
      <c r="B122" s="27" t="s">
        <v>21</v>
      </c>
      <c r="C122" s="27" t="s">
        <v>22</v>
      </c>
      <c r="D122" s="29">
        <v>1</v>
      </c>
      <c r="E122" s="27" t="s">
        <v>53</v>
      </c>
      <c r="F122" s="28">
        <v>5.53</v>
      </c>
      <c r="G122" s="29" t="s">
        <v>140</v>
      </c>
      <c r="H122" s="39">
        <v>45953</v>
      </c>
      <c r="I122" s="30"/>
      <c r="J122" s="30">
        <f t="shared" si="6"/>
        <v>46043</v>
      </c>
      <c r="K122" s="30">
        <v>46113</v>
      </c>
      <c r="L122" s="30">
        <v>46142</v>
      </c>
      <c r="M122" s="32">
        <v>30</v>
      </c>
      <c r="N122" s="291">
        <f t="shared" si="7"/>
        <v>165.9</v>
      </c>
      <c r="O122" s="40">
        <f t="shared" si="8"/>
        <v>30</v>
      </c>
      <c r="P122" s="33">
        <f t="shared" si="9"/>
        <v>165.9</v>
      </c>
      <c r="Q122" s="44"/>
    </row>
    <row r="123" s="21" customFormat="1" ht="34" customHeight="1" spans="1:17">
      <c r="A123" s="27">
        <v>26</v>
      </c>
      <c r="B123" s="27" t="s">
        <v>21</v>
      </c>
      <c r="C123" s="27" t="s">
        <v>22</v>
      </c>
      <c r="D123" s="29">
        <v>1</v>
      </c>
      <c r="E123" s="27" t="s">
        <v>53</v>
      </c>
      <c r="F123" s="28">
        <v>5.53</v>
      </c>
      <c r="G123" s="29" t="s">
        <v>141</v>
      </c>
      <c r="H123" s="39">
        <v>45953</v>
      </c>
      <c r="I123" s="30"/>
      <c r="J123" s="30">
        <f t="shared" si="6"/>
        <v>46043</v>
      </c>
      <c r="K123" s="30">
        <v>46113</v>
      </c>
      <c r="L123" s="30">
        <v>46142</v>
      </c>
      <c r="M123" s="32">
        <v>30</v>
      </c>
      <c r="N123" s="291">
        <f t="shared" si="7"/>
        <v>165.9</v>
      </c>
      <c r="O123" s="40">
        <f t="shared" si="8"/>
        <v>30</v>
      </c>
      <c r="P123" s="33">
        <f t="shared" si="9"/>
        <v>165.9</v>
      </c>
      <c r="Q123" s="44"/>
    </row>
    <row r="124" s="21" customFormat="1" ht="34" customHeight="1" spans="1:17">
      <c r="A124" s="27">
        <v>26</v>
      </c>
      <c r="B124" s="27" t="s">
        <v>21</v>
      </c>
      <c r="C124" s="27" t="s">
        <v>22</v>
      </c>
      <c r="D124" s="29">
        <v>1</v>
      </c>
      <c r="E124" s="27" t="s">
        <v>53</v>
      </c>
      <c r="F124" s="28">
        <v>5.53</v>
      </c>
      <c r="G124" s="29" t="s">
        <v>142</v>
      </c>
      <c r="H124" s="39">
        <v>45953</v>
      </c>
      <c r="I124" s="30"/>
      <c r="J124" s="30">
        <f t="shared" si="6"/>
        <v>46043</v>
      </c>
      <c r="K124" s="30">
        <v>46113</v>
      </c>
      <c r="L124" s="30">
        <v>46142</v>
      </c>
      <c r="M124" s="32">
        <v>30</v>
      </c>
      <c r="N124" s="291">
        <f t="shared" si="7"/>
        <v>165.9</v>
      </c>
      <c r="O124" s="40">
        <f t="shared" si="8"/>
        <v>30</v>
      </c>
      <c r="P124" s="33">
        <f t="shared" si="9"/>
        <v>165.9</v>
      </c>
      <c r="Q124" s="44"/>
    </row>
    <row r="125" s="21" customFormat="1" ht="34" customHeight="1" spans="1:17">
      <c r="A125" s="27">
        <v>26</v>
      </c>
      <c r="B125" s="27" t="s">
        <v>21</v>
      </c>
      <c r="C125" s="27" t="s">
        <v>22</v>
      </c>
      <c r="D125" s="29">
        <v>1</v>
      </c>
      <c r="E125" s="27" t="s">
        <v>53</v>
      </c>
      <c r="F125" s="28">
        <v>5.53</v>
      </c>
      <c r="G125" s="29" t="s">
        <v>143</v>
      </c>
      <c r="H125" s="39">
        <v>45953</v>
      </c>
      <c r="I125" s="30"/>
      <c r="J125" s="30">
        <f t="shared" si="6"/>
        <v>46043</v>
      </c>
      <c r="K125" s="30">
        <v>46113</v>
      </c>
      <c r="L125" s="30">
        <v>46142</v>
      </c>
      <c r="M125" s="32">
        <v>30</v>
      </c>
      <c r="N125" s="291">
        <f t="shared" si="7"/>
        <v>165.9</v>
      </c>
      <c r="O125" s="40">
        <f t="shared" si="8"/>
        <v>30</v>
      </c>
      <c r="P125" s="33">
        <f t="shared" si="9"/>
        <v>165.9</v>
      </c>
      <c r="Q125" s="44"/>
    </row>
    <row r="126" s="21" customFormat="1" ht="34" customHeight="1" spans="1:17">
      <c r="A126" s="27">
        <v>26</v>
      </c>
      <c r="B126" s="27" t="s">
        <v>21</v>
      </c>
      <c r="C126" s="27" t="s">
        <v>22</v>
      </c>
      <c r="D126" s="29">
        <v>1</v>
      </c>
      <c r="E126" s="27" t="s">
        <v>53</v>
      </c>
      <c r="F126" s="28">
        <v>5.53</v>
      </c>
      <c r="G126" s="29" t="s">
        <v>144</v>
      </c>
      <c r="H126" s="39">
        <v>45953</v>
      </c>
      <c r="I126" s="30"/>
      <c r="J126" s="30">
        <f t="shared" si="6"/>
        <v>46043</v>
      </c>
      <c r="K126" s="30">
        <v>46113</v>
      </c>
      <c r="L126" s="30">
        <v>46142</v>
      </c>
      <c r="M126" s="32">
        <v>30</v>
      </c>
      <c r="N126" s="291">
        <f t="shared" si="7"/>
        <v>165.9</v>
      </c>
      <c r="O126" s="40">
        <f t="shared" si="8"/>
        <v>30</v>
      </c>
      <c r="P126" s="33">
        <f t="shared" si="9"/>
        <v>165.9</v>
      </c>
      <c r="Q126" s="44"/>
    </row>
    <row r="127" s="21" customFormat="1" ht="34" customHeight="1" spans="1:17">
      <c r="A127" s="27">
        <v>26</v>
      </c>
      <c r="B127" s="27" t="s">
        <v>21</v>
      </c>
      <c r="C127" s="27" t="s">
        <v>22</v>
      </c>
      <c r="D127" s="29">
        <v>1</v>
      </c>
      <c r="E127" s="27" t="s">
        <v>53</v>
      </c>
      <c r="F127" s="28">
        <v>5.53</v>
      </c>
      <c r="G127" s="29" t="s">
        <v>124</v>
      </c>
      <c r="H127" s="39">
        <v>46142</v>
      </c>
      <c r="I127" s="30"/>
      <c r="J127" s="292">
        <f t="shared" si="6"/>
        <v>46232</v>
      </c>
      <c r="K127" s="30">
        <v>46113</v>
      </c>
      <c r="L127" s="30">
        <v>46142</v>
      </c>
      <c r="M127" s="32">
        <v>30</v>
      </c>
      <c r="N127" s="291">
        <f t="shared" si="7"/>
        <v>165.9</v>
      </c>
      <c r="O127" s="40">
        <v>0</v>
      </c>
      <c r="P127" s="33">
        <f t="shared" si="9"/>
        <v>0</v>
      </c>
      <c r="Q127" s="44"/>
    </row>
    <row r="128" s="21" customFormat="1" ht="34" customHeight="1" spans="1:17">
      <c r="A128" s="27">
        <v>26</v>
      </c>
      <c r="B128" s="27" t="s">
        <v>21</v>
      </c>
      <c r="C128" s="27" t="s">
        <v>22</v>
      </c>
      <c r="D128" s="29">
        <v>1</v>
      </c>
      <c r="E128" s="27" t="s">
        <v>53</v>
      </c>
      <c r="F128" s="28">
        <v>5.53</v>
      </c>
      <c r="G128" s="29" t="s">
        <v>125</v>
      </c>
      <c r="H128" s="39">
        <v>46142</v>
      </c>
      <c r="I128" s="30"/>
      <c r="J128" s="292">
        <f t="shared" si="6"/>
        <v>46232</v>
      </c>
      <c r="K128" s="30">
        <v>46113</v>
      </c>
      <c r="L128" s="30">
        <v>46142</v>
      </c>
      <c r="M128" s="32">
        <v>30</v>
      </c>
      <c r="N128" s="291">
        <f t="shared" si="7"/>
        <v>165.9</v>
      </c>
      <c r="O128" s="40">
        <v>0</v>
      </c>
      <c r="P128" s="33">
        <f t="shared" si="9"/>
        <v>0</v>
      </c>
      <c r="Q128" s="44"/>
    </row>
    <row r="129" s="21" customFormat="1" ht="34" customHeight="1" spans="1:41">
      <c r="A129" s="29" t="s">
        <v>126</v>
      </c>
      <c r="B129" s="29"/>
      <c r="C129" s="29"/>
      <c r="D129" s="29">
        <f>SUM(D70:D126)</f>
        <v>57</v>
      </c>
      <c r="E129" s="29" t="s">
        <v>127</v>
      </c>
      <c r="F129" s="29"/>
      <c r="G129" s="29"/>
      <c r="H129" s="29"/>
      <c r="I129" s="29"/>
      <c r="J129" s="29"/>
      <c r="K129" s="29"/>
      <c r="L129" s="29"/>
      <c r="M129" s="29"/>
      <c r="N129" s="33">
        <f>SUM(N70:N128)</f>
        <v>9788.09999999999</v>
      </c>
      <c r="O129" s="147"/>
      <c r="P129" s="283">
        <f>SUM(P70:P128)</f>
        <v>9456.29999999999</v>
      </c>
      <c r="Q129" s="44"/>
    </row>
    <row r="130" s="21" customFormat="1" ht="34" customHeight="1" spans="1:41">
      <c r="O130" s="44"/>
      <c r="P130" s="44"/>
      <c r="Q130" s="44"/>
    </row>
    <row r="131" s="21" customFormat="1" ht="34" customHeight="1" spans="1:41">
      <c r="A131" s="293" t="s">
        <v>145</v>
      </c>
      <c r="B131" s="293"/>
      <c r="C131" s="293"/>
      <c r="D131" s="293"/>
      <c r="E131" s="293"/>
      <c r="F131" s="293"/>
      <c r="G131" s="293"/>
      <c r="H131" s="293"/>
      <c r="I131" s="293"/>
      <c r="J131" s="293"/>
      <c r="K131" s="293"/>
      <c r="L131" s="293"/>
      <c r="M131" s="293"/>
      <c r="N131" s="293"/>
      <c r="O131" s="44"/>
      <c r="P131" s="44"/>
      <c r="Q131" s="44"/>
    </row>
    <row r="132" s="279" customFormat="1" customHeight="1" spans="1:41">
      <c r="A132" s="48" t="s">
        <v>16</v>
      </c>
      <c r="B132" s="48" t="s">
        <v>17</v>
      </c>
      <c r="C132" s="48" t="s">
        <v>18</v>
      </c>
      <c r="D132" s="48" t="s">
        <v>65</v>
      </c>
      <c r="E132" s="48" t="s">
        <v>46</v>
      </c>
      <c r="F132" s="48" t="s">
        <v>75</v>
      </c>
      <c r="G132" s="48"/>
      <c r="H132" s="48"/>
      <c r="I132" s="48"/>
      <c r="J132" s="48"/>
      <c r="K132" s="48"/>
      <c r="L132" s="48"/>
      <c r="M132" s="48"/>
      <c r="N132" s="48"/>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s="279" customFormat="1" customHeight="1" spans="1:41">
      <c r="A133" s="27">
        <v>50</v>
      </c>
      <c r="B133" s="27" t="s">
        <v>30</v>
      </c>
      <c r="C133" s="27" t="s">
        <v>31</v>
      </c>
      <c r="D133" s="32">
        <v>1</v>
      </c>
      <c r="E133" s="27" t="s">
        <v>53</v>
      </c>
      <c r="F133" s="32">
        <f>P66</f>
        <v>296.01</v>
      </c>
      <c r="G133" s="32"/>
      <c r="H133" s="32"/>
      <c r="I133" s="32"/>
      <c r="J133" s="32"/>
      <c r="K133" s="32"/>
      <c r="L133" s="32"/>
      <c r="M133" s="32"/>
      <c r="N133" s="32"/>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s="279" customFormat="1" customHeight="1" spans="1:41">
      <c r="A134" s="27">
        <v>26</v>
      </c>
      <c r="B134" s="27" t="s">
        <v>21</v>
      </c>
      <c r="C134" s="27" t="s">
        <v>22</v>
      </c>
      <c r="D134" s="32">
        <v>57</v>
      </c>
      <c r="E134" s="27" t="s">
        <v>53</v>
      </c>
      <c r="F134" s="32">
        <f>SUM(P70:P128)</f>
        <v>9456.29999999999</v>
      </c>
      <c r="G134" s="32"/>
      <c r="H134" s="32"/>
      <c r="I134" s="32"/>
      <c r="J134" s="32"/>
      <c r="K134" s="32"/>
      <c r="L134" s="32"/>
      <c r="M134" s="32"/>
      <c r="N134" s="32"/>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s="279" customFormat="1" customHeight="1" spans="1:41">
      <c r="A135" s="27">
        <v>21</v>
      </c>
      <c r="B135" s="14" t="s">
        <v>23</v>
      </c>
      <c r="C135" s="14" t="s">
        <v>24</v>
      </c>
      <c r="D135" s="32">
        <v>53</v>
      </c>
      <c r="E135" s="27" t="s">
        <v>53</v>
      </c>
      <c r="F135" s="55">
        <f>P63</f>
        <v>112953.6</v>
      </c>
      <c r="G135" s="154"/>
      <c r="H135" s="154"/>
      <c r="I135" s="154"/>
      <c r="J135" s="154"/>
      <c r="K135" s="154"/>
      <c r="L135" s="154"/>
      <c r="M135" s="154"/>
      <c r="N135" s="155"/>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s="279" customFormat="1" customHeight="1" spans="1:41">
      <c r="A136" s="27">
        <v>35</v>
      </c>
      <c r="B136" s="14" t="s">
        <v>51</v>
      </c>
      <c r="C136" s="14" t="s">
        <v>54</v>
      </c>
      <c r="D136" s="32">
        <v>10</v>
      </c>
      <c r="E136" s="27" t="s">
        <v>53</v>
      </c>
      <c r="F136" s="55">
        <f>SUM(P43:P52)</f>
        <v>19.5</v>
      </c>
      <c r="G136" s="154"/>
      <c r="H136" s="154"/>
      <c r="I136" s="154"/>
      <c r="J136" s="154"/>
      <c r="K136" s="154"/>
      <c r="L136" s="154"/>
      <c r="M136" s="154"/>
      <c r="N136" s="155"/>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s="279" customFormat="1" customHeight="1" spans="1:41">
      <c r="A137" s="27">
        <v>11</v>
      </c>
      <c r="B137" s="14" t="s">
        <v>25</v>
      </c>
      <c r="C137" s="14" t="s">
        <v>26</v>
      </c>
      <c r="D137" s="14">
        <v>8</v>
      </c>
      <c r="E137" s="14" t="s">
        <v>53</v>
      </c>
      <c r="F137" s="55">
        <f>P60</f>
        <v>115248</v>
      </c>
      <c r="G137" s="154"/>
      <c r="H137" s="154"/>
      <c r="I137" s="154"/>
      <c r="J137" s="154"/>
      <c r="K137" s="154"/>
      <c r="L137" s="154"/>
      <c r="M137" s="154"/>
      <c r="N137" s="155"/>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s="279" customFormat="1" customHeight="1" spans="1:41">
      <c r="A138" s="27">
        <v>36</v>
      </c>
      <c r="B138" s="14" t="s">
        <v>51</v>
      </c>
      <c r="C138" s="27" t="s">
        <v>52</v>
      </c>
      <c r="D138" s="32">
        <v>2</v>
      </c>
      <c r="E138" s="27" t="s">
        <v>53</v>
      </c>
      <c r="F138" s="55">
        <f>SUM(P3:P42)</f>
        <v>102.48</v>
      </c>
      <c r="G138" s="154"/>
      <c r="H138" s="154"/>
      <c r="I138" s="154"/>
      <c r="J138" s="154"/>
      <c r="K138" s="154"/>
      <c r="L138" s="154"/>
      <c r="M138" s="154"/>
      <c r="N138" s="155"/>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s="279" customFormat="1" customHeight="1" spans="1:41">
      <c r="A139" s="32" t="s">
        <v>146</v>
      </c>
      <c r="B139" s="32"/>
      <c r="C139" s="32"/>
      <c r="D139" s="32"/>
      <c r="E139" s="32"/>
      <c r="F139" s="56">
        <f>SUM(F133:F138)</f>
        <v>238075.89</v>
      </c>
      <c r="G139" s="56"/>
      <c r="H139" s="56"/>
      <c r="I139" s="56"/>
      <c r="J139" s="56"/>
      <c r="K139" s="56"/>
      <c r="L139" s="56"/>
      <c r="M139" s="56"/>
      <c r="N139" s="56"/>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sheetData>
  <mergeCells count="45">
    <mergeCell ref="A1:P1"/>
    <mergeCell ref="A53:C53"/>
    <mergeCell ref="E53:M53"/>
    <mergeCell ref="A58:P58"/>
    <mergeCell ref="A61:P61"/>
    <mergeCell ref="A64:P64"/>
    <mergeCell ref="A68:P68"/>
    <mergeCell ref="A129:C129"/>
    <mergeCell ref="E129:M129"/>
    <mergeCell ref="A131:N131"/>
    <mergeCell ref="F132:N132"/>
    <mergeCell ref="F133:N133"/>
    <mergeCell ref="F134:N134"/>
    <mergeCell ref="F135:N135"/>
    <mergeCell ref="F136:N136"/>
    <mergeCell ref="F137:N137"/>
    <mergeCell ref="F138:N138"/>
    <mergeCell ref="A139:E139"/>
    <mergeCell ref="F139:N139"/>
    <mergeCell ref="A3:A22"/>
    <mergeCell ref="A23:A42"/>
    <mergeCell ref="B3:B22"/>
    <mergeCell ref="B23:B42"/>
    <mergeCell ref="C3:C22"/>
    <mergeCell ref="C23:C42"/>
    <mergeCell ref="D3:D22"/>
    <mergeCell ref="D23:D42"/>
    <mergeCell ref="E3:E22"/>
    <mergeCell ref="E23:E42"/>
    <mergeCell ref="F3:F22"/>
    <mergeCell ref="F23:F42"/>
    <mergeCell ref="J3:J22"/>
    <mergeCell ref="J23:J42"/>
    <mergeCell ref="K3:K22"/>
    <mergeCell ref="K23:K42"/>
    <mergeCell ref="L3:L22"/>
    <mergeCell ref="L23:L42"/>
    <mergeCell ref="M3:M22"/>
    <mergeCell ref="M23:M42"/>
    <mergeCell ref="N3:N22"/>
    <mergeCell ref="N23:N42"/>
    <mergeCell ref="O3:O22"/>
    <mergeCell ref="O23:O42"/>
    <mergeCell ref="P3:P22"/>
    <mergeCell ref="P23:P42"/>
  </mergeCells>
  <hyperlinks>
    <hyperlink ref="G51" r:id="rId1" display="172.16.10.164"/>
    <hyperlink ref="G52" r:id="rId2" display="172.16.10.165"/>
    <hyperlink ref="G127" r:id="rId1" display="172.16.10.164"/>
    <hyperlink ref="G128" r:id="rId2" display="172.16.10.165"/>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Y104"/>
  <sheetViews>
    <sheetView zoomScale="55" zoomScaleNormal="55" topLeftCell="A41" workbookViewId="0">
      <selection activeCell="F94" sqref="F94:N94"/>
    </sheetView>
  </sheetViews>
  <sheetFormatPr defaultColWidth="18.1640625" defaultRowHeight="32" customHeight="1"/>
  <cols>
    <col min="1" max="1" width="10.828125" style="12" customWidth="1"/>
    <col min="2" max="3" width="22.3359375" style="12" customWidth="1"/>
    <col min="4" max="4" width="4.1640625" style="12" customWidth="1"/>
    <col min="5" max="5" width="5.6640625" style="12" customWidth="1"/>
    <col min="6" max="6" width="7.6640625" style="12" customWidth="1"/>
    <col min="7" max="7" width="15.8359375" style="12" customWidth="1"/>
    <col min="8" max="8" width="11" style="12" customWidth="1"/>
    <col min="9" max="10" width="12.328125" style="12" customWidth="1"/>
    <col min="11" max="12" width="15.5078125" style="12" customWidth="1"/>
    <col min="13" max="13" width="16.6640625" style="12" customWidth="1"/>
    <col min="14" max="14" width="11.1640625" style="12" customWidth="1"/>
    <col min="15" max="15" width="18.1640625" style="12" customWidth="1"/>
    <col min="16" max="16" width="18.1640625" style="249" customWidth="1"/>
    <col min="17" max="42" width="18.1640625" style="237" customWidth="1"/>
    <col min="43" max="103" width="18.1640625" style="250"/>
  </cols>
  <sheetData>
    <row r="1" s="97" customFormat="1" customHeight="1" spans="1:103">
      <c r="A1" s="232" t="s">
        <v>147</v>
      </c>
      <c r="B1" s="232"/>
      <c r="C1" s="232"/>
      <c r="D1" s="232"/>
      <c r="E1" s="232"/>
      <c r="F1" s="232"/>
      <c r="G1" s="232"/>
      <c r="H1" s="232"/>
      <c r="I1" s="232"/>
      <c r="J1" s="232"/>
      <c r="K1" s="232"/>
      <c r="L1" s="232"/>
      <c r="M1" s="232"/>
      <c r="N1" s="232"/>
      <c r="O1" s="232"/>
      <c r="P1" s="232"/>
      <c r="Q1" s="237"/>
      <c r="R1" s="237"/>
      <c r="S1" s="237"/>
      <c r="T1" s="237"/>
      <c r="U1" s="237"/>
      <c r="V1" s="237"/>
      <c r="W1" s="237"/>
      <c r="X1" s="237"/>
      <c r="Y1" s="237"/>
      <c r="Z1" s="251"/>
      <c r="AA1" s="251"/>
      <c r="AB1" s="251"/>
      <c r="AC1" s="251"/>
      <c r="AD1" s="251"/>
      <c r="AE1" s="251"/>
      <c r="AF1" s="251"/>
      <c r="AG1" s="251"/>
      <c r="AH1" s="251"/>
      <c r="AI1" s="251"/>
      <c r="AJ1" s="251"/>
      <c r="AK1" s="251"/>
      <c r="AL1" s="251"/>
      <c r="AM1" s="251"/>
      <c r="AN1" s="251"/>
      <c r="AO1" s="251"/>
      <c r="AP1" s="251"/>
      <c r="AQ1" s="251"/>
      <c r="AR1" s="251"/>
      <c r="AS1" s="251"/>
      <c r="AT1" s="251"/>
      <c r="AU1" s="251"/>
      <c r="AV1" s="251"/>
      <c r="AW1" s="251"/>
      <c r="AX1" s="251"/>
      <c r="AY1" s="251"/>
      <c r="AZ1" s="251"/>
      <c r="BA1" s="251"/>
      <c r="BB1" s="251"/>
      <c r="BC1" s="251"/>
      <c r="BD1" s="251"/>
      <c r="BE1" s="251"/>
      <c r="BF1" s="251"/>
      <c r="BG1" s="251"/>
      <c r="BH1" s="251"/>
      <c r="BI1" s="251"/>
      <c r="BJ1" s="251"/>
      <c r="BK1" s="251"/>
      <c r="BL1" s="251"/>
      <c r="BM1" s="251"/>
      <c r="BN1" s="251"/>
      <c r="BO1" s="251"/>
      <c r="BP1" s="251"/>
      <c r="BQ1" s="251"/>
      <c r="BR1" s="251"/>
      <c r="BS1" s="251"/>
      <c r="BT1" s="251"/>
      <c r="BU1" s="251"/>
      <c r="BV1" s="251"/>
      <c r="BW1" s="251"/>
      <c r="BX1" s="251"/>
      <c r="BY1" s="251"/>
      <c r="BZ1" s="251"/>
      <c r="CA1" s="251"/>
      <c r="CB1" s="251"/>
      <c r="CC1" s="251"/>
      <c r="CD1" s="251"/>
      <c r="CE1" s="251"/>
      <c r="CF1" s="251"/>
      <c r="CG1" s="251"/>
      <c r="CH1" s="251"/>
      <c r="CI1" s="251"/>
      <c r="CJ1" s="251"/>
      <c r="CK1" s="251"/>
      <c r="CL1" s="251"/>
      <c r="CM1" s="251"/>
      <c r="CN1" s="251"/>
      <c r="CO1" s="251"/>
      <c r="CP1" s="251"/>
      <c r="CQ1" s="251"/>
      <c r="CR1" s="251"/>
      <c r="CS1" s="251"/>
      <c r="CT1" s="251"/>
      <c r="CU1" s="251"/>
      <c r="CV1" s="251"/>
      <c r="CW1" s="251"/>
      <c r="CX1" s="251"/>
      <c r="CY1" s="251"/>
    </row>
    <row r="2" s="97" customFormat="1" customHeight="1" spans="1:103">
      <c r="A2" s="25" t="s">
        <v>16</v>
      </c>
      <c r="B2" s="25" t="s">
        <v>17</v>
      </c>
      <c r="C2" s="25" t="s">
        <v>18</v>
      </c>
      <c r="D2" s="25" t="s">
        <v>65</v>
      </c>
      <c r="E2" s="25" t="s">
        <v>46</v>
      </c>
      <c r="F2" s="25" t="s">
        <v>66</v>
      </c>
      <c r="G2" s="25" t="s">
        <v>67</v>
      </c>
      <c r="H2" s="25" t="s">
        <v>43</v>
      </c>
      <c r="I2" s="25" t="s">
        <v>68</v>
      </c>
      <c r="J2" s="25" t="s">
        <v>69</v>
      </c>
      <c r="K2" s="25" t="s">
        <v>70</v>
      </c>
      <c r="L2" s="25" t="s">
        <v>71</v>
      </c>
      <c r="M2" s="26" t="s">
        <v>72</v>
      </c>
      <c r="N2" s="26" t="s">
        <v>73</v>
      </c>
      <c r="O2" s="25" t="s">
        <v>74</v>
      </c>
      <c r="P2" s="25" t="s">
        <v>75</v>
      </c>
      <c r="Q2" s="237"/>
      <c r="R2" s="237"/>
      <c r="S2" s="237"/>
      <c r="T2" s="237"/>
      <c r="U2" s="237"/>
      <c r="V2" s="237"/>
      <c r="W2" s="237"/>
      <c r="X2" s="237"/>
      <c r="Y2" s="237"/>
      <c r="Z2" s="251"/>
      <c r="AA2" s="251"/>
      <c r="AB2" s="251"/>
      <c r="AC2" s="251"/>
      <c r="AD2" s="251"/>
      <c r="AE2" s="251"/>
      <c r="AF2" s="251"/>
      <c r="AG2" s="251"/>
      <c r="AH2" s="251"/>
      <c r="AI2" s="251"/>
      <c r="AJ2" s="251"/>
      <c r="AK2" s="251"/>
      <c r="AL2" s="251"/>
      <c r="AM2" s="251"/>
      <c r="AN2" s="251"/>
      <c r="AO2" s="251"/>
      <c r="AP2" s="251"/>
      <c r="AQ2" s="251"/>
      <c r="AR2" s="251"/>
      <c r="AS2" s="251"/>
      <c r="AT2" s="251"/>
      <c r="AU2" s="251"/>
      <c r="AV2" s="251"/>
      <c r="AW2" s="251"/>
      <c r="AX2" s="251"/>
      <c r="AY2" s="251"/>
      <c r="AZ2" s="251"/>
      <c r="BA2" s="251"/>
      <c r="BB2" s="251"/>
      <c r="BC2" s="251"/>
      <c r="BD2" s="251"/>
      <c r="BE2" s="251"/>
      <c r="BF2" s="251"/>
      <c r="BG2" s="251"/>
      <c r="BH2" s="251"/>
      <c r="BI2" s="251"/>
      <c r="BJ2" s="251"/>
      <c r="BK2" s="251"/>
      <c r="BL2" s="251"/>
      <c r="BM2" s="251"/>
      <c r="BN2" s="251"/>
      <c r="BO2" s="251"/>
      <c r="BP2" s="251"/>
      <c r="BQ2" s="251"/>
      <c r="BR2" s="251"/>
      <c r="BS2" s="251"/>
      <c r="BT2" s="251"/>
      <c r="BU2" s="251"/>
      <c r="BV2" s="251"/>
      <c r="BW2" s="251"/>
      <c r="BX2" s="251"/>
      <c r="BY2" s="251"/>
      <c r="BZ2" s="251"/>
      <c r="CA2" s="251"/>
      <c r="CB2" s="251"/>
      <c r="CC2" s="251"/>
      <c r="CD2" s="251"/>
      <c r="CE2" s="251"/>
      <c r="CF2" s="251"/>
      <c r="CG2" s="251"/>
      <c r="CH2" s="251"/>
      <c r="CI2" s="251"/>
      <c r="CJ2" s="251"/>
      <c r="CK2" s="251"/>
      <c r="CL2" s="251"/>
      <c r="CM2" s="251"/>
      <c r="CN2" s="251"/>
      <c r="CO2" s="251"/>
      <c r="CP2" s="251"/>
      <c r="CQ2" s="251"/>
      <c r="CR2" s="251"/>
      <c r="CS2" s="251"/>
      <c r="CT2" s="251"/>
      <c r="CU2" s="251"/>
      <c r="CV2" s="251"/>
      <c r="CW2" s="251"/>
      <c r="CX2" s="251"/>
      <c r="CY2" s="251"/>
    </row>
    <row r="3" customFormat="1" customHeight="1" spans="1:103">
      <c r="A3" s="72">
        <v>36</v>
      </c>
      <c r="B3" s="72" t="s">
        <v>51</v>
      </c>
      <c r="C3" s="72" t="s">
        <v>52</v>
      </c>
      <c r="D3" s="73">
        <v>1</v>
      </c>
      <c r="E3" s="73" t="s">
        <v>53</v>
      </c>
      <c r="F3" s="73">
        <v>25.62</v>
      </c>
      <c r="G3" s="73" t="s">
        <v>148</v>
      </c>
      <c r="H3" s="47">
        <v>46051</v>
      </c>
      <c r="I3" s="252"/>
      <c r="J3" s="47">
        <f>H3+90</f>
        <v>46141</v>
      </c>
      <c r="K3" s="42">
        <v>46113</v>
      </c>
      <c r="L3" s="42">
        <v>46142</v>
      </c>
      <c r="M3" s="253">
        <v>30</v>
      </c>
      <c r="N3" s="254">
        <f>M3*F3*D3</f>
        <v>768.6</v>
      </c>
      <c r="O3" s="29">
        <v>2</v>
      </c>
      <c r="P3" s="33">
        <f>O3*F3*D3</f>
        <v>51.24</v>
      </c>
      <c r="Q3" s="237"/>
      <c r="R3" s="237"/>
      <c r="S3" s="237"/>
      <c r="T3" s="237"/>
      <c r="U3" s="237"/>
      <c r="V3" s="237"/>
      <c r="W3" s="237"/>
      <c r="X3" s="237"/>
      <c r="Y3" s="237"/>
      <c r="Z3" s="237"/>
      <c r="AA3" s="237"/>
      <c r="AB3" s="237"/>
      <c r="AC3" s="237"/>
      <c r="AD3" s="237"/>
      <c r="AE3" s="237"/>
      <c r="AF3" s="237"/>
      <c r="AG3" s="237"/>
      <c r="AH3" s="237"/>
      <c r="AI3" s="237"/>
      <c r="AJ3" s="237"/>
      <c r="AK3" s="237"/>
      <c r="AL3" s="237"/>
      <c r="AM3" s="237"/>
      <c r="AN3" s="237"/>
      <c r="AO3" s="237"/>
      <c r="AP3" s="237"/>
      <c r="AQ3" s="250"/>
      <c r="AR3" s="250"/>
      <c r="AS3" s="250"/>
      <c r="AT3" s="250"/>
      <c r="AU3" s="250"/>
      <c r="AV3" s="250"/>
      <c r="AW3" s="250"/>
      <c r="AX3" s="250"/>
      <c r="AY3" s="250"/>
      <c r="AZ3" s="250"/>
      <c r="BA3" s="250"/>
      <c r="BB3" s="250"/>
      <c r="BC3" s="250"/>
      <c r="BD3" s="250"/>
      <c r="BE3" s="250"/>
      <c r="BF3" s="250"/>
      <c r="BG3" s="250"/>
      <c r="BH3" s="250"/>
      <c r="BI3" s="250"/>
      <c r="BJ3" s="250"/>
      <c r="BK3" s="250"/>
      <c r="BL3" s="250"/>
      <c r="BM3" s="250"/>
      <c r="BN3" s="250"/>
      <c r="BO3" s="250"/>
      <c r="BP3" s="250"/>
      <c r="BQ3" s="250"/>
      <c r="BR3" s="250"/>
      <c r="BS3" s="250"/>
      <c r="BT3" s="250"/>
      <c r="BU3" s="250"/>
      <c r="BV3" s="250"/>
      <c r="BW3" s="250"/>
      <c r="BX3" s="250"/>
      <c r="BY3" s="250"/>
      <c r="BZ3" s="250"/>
      <c r="CA3" s="250"/>
      <c r="CB3" s="250"/>
      <c r="CC3" s="250"/>
      <c r="CD3" s="250"/>
      <c r="CE3" s="250"/>
      <c r="CF3" s="250"/>
      <c r="CG3" s="250"/>
      <c r="CH3" s="250"/>
      <c r="CI3" s="250"/>
      <c r="CJ3" s="250"/>
      <c r="CK3" s="250"/>
      <c r="CL3" s="250"/>
      <c r="CM3" s="250"/>
      <c r="CN3" s="250"/>
      <c r="CO3" s="250"/>
      <c r="CP3" s="250"/>
      <c r="CQ3" s="250"/>
      <c r="CR3" s="250"/>
      <c r="CS3" s="250"/>
      <c r="CT3" s="250"/>
      <c r="CU3" s="250"/>
      <c r="CV3" s="250"/>
      <c r="CW3" s="250"/>
      <c r="CX3" s="250"/>
      <c r="CY3" s="250"/>
    </row>
    <row r="4" customFormat="1" customHeight="1" spans="1:103">
      <c r="A4" s="255"/>
      <c r="B4" s="72" t="s">
        <v>51</v>
      </c>
      <c r="C4" s="72" t="s">
        <v>52</v>
      </c>
      <c r="D4" s="73"/>
      <c r="E4" s="73"/>
      <c r="F4" s="73"/>
      <c r="G4" s="73" t="s">
        <v>149</v>
      </c>
      <c r="H4" s="47">
        <v>46051</v>
      </c>
      <c r="I4" s="252"/>
      <c r="J4" s="47"/>
      <c r="K4" s="42"/>
      <c r="L4" s="42"/>
      <c r="M4" s="253"/>
      <c r="N4" s="254"/>
      <c r="O4" s="29"/>
      <c r="P4" s="33"/>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50"/>
      <c r="AR4" s="250"/>
      <c r="AS4" s="250"/>
      <c r="AT4" s="250"/>
      <c r="AU4" s="250"/>
      <c r="AV4" s="250"/>
      <c r="AW4" s="250"/>
      <c r="AX4" s="250"/>
      <c r="AY4" s="250"/>
      <c r="AZ4" s="250"/>
      <c r="BA4" s="250"/>
      <c r="BB4" s="250"/>
      <c r="BC4" s="250"/>
      <c r="BD4" s="250"/>
      <c r="BE4" s="250"/>
      <c r="BF4" s="250"/>
      <c r="BG4" s="250"/>
      <c r="BH4" s="250"/>
      <c r="BI4" s="250"/>
      <c r="BJ4" s="250"/>
      <c r="BK4" s="250"/>
      <c r="BL4" s="250"/>
      <c r="BM4" s="250"/>
      <c r="BN4" s="250"/>
      <c r="BO4" s="250"/>
      <c r="BP4" s="250"/>
      <c r="BQ4" s="250"/>
      <c r="BR4" s="250"/>
      <c r="BS4" s="250"/>
      <c r="BT4" s="250"/>
      <c r="BU4" s="250"/>
      <c r="BV4" s="250"/>
      <c r="BW4" s="250"/>
      <c r="BX4" s="250"/>
      <c r="BY4" s="250"/>
      <c r="BZ4" s="250"/>
      <c r="CA4" s="250"/>
      <c r="CB4" s="250"/>
      <c r="CC4" s="250"/>
      <c r="CD4" s="250"/>
      <c r="CE4" s="250"/>
      <c r="CF4" s="250"/>
      <c r="CG4" s="250"/>
      <c r="CH4" s="250"/>
      <c r="CI4" s="250"/>
      <c r="CJ4" s="250"/>
      <c r="CK4" s="250"/>
      <c r="CL4" s="250"/>
      <c r="CM4" s="250"/>
      <c r="CN4" s="250"/>
      <c r="CO4" s="250"/>
      <c r="CP4" s="250"/>
      <c r="CQ4" s="250"/>
      <c r="CR4" s="250"/>
      <c r="CS4" s="250"/>
      <c r="CT4" s="250"/>
      <c r="CU4" s="250"/>
      <c r="CV4" s="250"/>
      <c r="CW4" s="250"/>
      <c r="CX4" s="250"/>
      <c r="CY4" s="250"/>
    </row>
    <row r="5" customFormat="1" customHeight="1" spans="1:103">
      <c r="A5" s="255"/>
      <c r="B5" s="72" t="s">
        <v>51</v>
      </c>
      <c r="C5" s="72" t="s">
        <v>52</v>
      </c>
      <c r="D5" s="73"/>
      <c r="E5" s="73"/>
      <c r="F5" s="73"/>
      <c r="G5" s="73" t="s">
        <v>150</v>
      </c>
      <c r="H5" s="47">
        <v>46051</v>
      </c>
      <c r="I5" s="47"/>
      <c r="J5" s="47"/>
      <c r="K5" s="42"/>
      <c r="L5" s="42"/>
      <c r="M5" s="253"/>
      <c r="N5" s="254"/>
      <c r="O5" s="29"/>
      <c r="P5" s="33"/>
      <c r="Q5" s="237"/>
      <c r="R5" s="237"/>
      <c r="S5" s="237"/>
      <c r="T5" s="237"/>
      <c r="U5" s="237"/>
      <c r="V5" s="237"/>
      <c r="W5" s="237"/>
      <c r="X5" s="237"/>
      <c r="Y5" s="237"/>
      <c r="Z5" s="237"/>
      <c r="AA5" s="237"/>
      <c r="AB5" s="237"/>
      <c r="AC5" s="237"/>
      <c r="AD5" s="237"/>
      <c r="AE5" s="237"/>
      <c r="AF5" s="237"/>
      <c r="AG5" s="237"/>
      <c r="AH5" s="237"/>
      <c r="AI5" s="237"/>
      <c r="AJ5" s="237"/>
      <c r="AK5" s="237"/>
      <c r="AL5" s="237"/>
      <c r="AM5" s="237"/>
      <c r="AN5" s="237"/>
      <c r="AO5" s="237"/>
      <c r="AP5" s="237"/>
      <c r="AQ5" s="250"/>
      <c r="AR5" s="250"/>
      <c r="AS5" s="250"/>
      <c r="AT5" s="250"/>
      <c r="AU5" s="250"/>
      <c r="AV5" s="250"/>
      <c r="AW5" s="250"/>
      <c r="AX5" s="250"/>
      <c r="AY5" s="250"/>
      <c r="AZ5" s="250"/>
      <c r="BA5" s="250"/>
      <c r="BB5" s="250"/>
      <c r="BC5" s="250"/>
      <c r="BD5" s="250"/>
      <c r="BE5" s="250"/>
      <c r="BF5" s="250"/>
      <c r="BG5" s="250"/>
      <c r="BH5" s="250"/>
      <c r="BI5" s="250"/>
      <c r="BJ5" s="250"/>
      <c r="BK5" s="250"/>
      <c r="BL5" s="250"/>
      <c r="BM5" s="250"/>
      <c r="BN5" s="250"/>
      <c r="BO5" s="250"/>
      <c r="BP5" s="250"/>
      <c r="BQ5" s="250"/>
      <c r="BR5" s="250"/>
      <c r="BS5" s="250"/>
      <c r="BT5" s="250"/>
      <c r="BU5" s="250"/>
      <c r="BV5" s="250"/>
      <c r="BW5" s="250"/>
      <c r="BX5" s="250"/>
      <c r="BY5" s="250"/>
      <c r="BZ5" s="250"/>
      <c r="CA5" s="250"/>
      <c r="CB5" s="250"/>
      <c r="CC5" s="250"/>
      <c r="CD5" s="250"/>
      <c r="CE5" s="250"/>
      <c r="CF5" s="250"/>
      <c r="CG5" s="250"/>
      <c r="CH5" s="250"/>
      <c r="CI5" s="250"/>
      <c r="CJ5" s="250"/>
      <c r="CK5" s="250"/>
      <c r="CL5" s="250"/>
      <c r="CM5" s="250"/>
      <c r="CN5" s="250"/>
      <c r="CO5" s="250"/>
      <c r="CP5" s="250"/>
      <c r="CQ5" s="250"/>
      <c r="CR5" s="250"/>
      <c r="CS5" s="250"/>
      <c r="CT5" s="250"/>
      <c r="CU5" s="250"/>
      <c r="CV5" s="250"/>
      <c r="CW5" s="250"/>
      <c r="CX5" s="250"/>
      <c r="CY5" s="250"/>
    </row>
    <row r="6" customFormat="1" customHeight="1" spans="1:103">
      <c r="A6" s="255"/>
      <c r="B6" s="72" t="s">
        <v>51</v>
      </c>
      <c r="C6" s="72" t="s">
        <v>52</v>
      </c>
      <c r="D6" s="73"/>
      <c r="E6" s="73"/>
      <c r="F6" s="73"/>
      <c r="G6" s="73" t="s">
        <v>151</v>
      </c>
      <c r="H6" s="47">
        <v>46051</v>
      </c>
      <c r="I6" s="47"/>
      <c r="J6" s="47"/>
      <c r="K6" s="42"/>
      <c r="L6" s="42"/>
      <c r="M6" s="253"/>
      <c r="N6" s="254"/>
      <c r="O6" s="29"/>
      <c r="P6" s="33"/>
      <c r="Q6" s="237"/>
      <c r="R6" s="237"/>
      <c r="S6" s="237"/>
      <c r="T6" s="237"/>
      <c r="U6" s="237"/>
      <c r="V6" s="237"/>
      <c r="W6" s="237"/>
      <c r="X6" s="237"/>
      <c r="Y6" s="237"/>
      <c r="Z6" s="237"/>
      <c r="AA6" s="237"/>
      <c r="AB6" s="237"/>
      <c r="AC6" s="237"/>
      <c r="AD6" s="237"/>
      <c r="AE6" s="237"/>
      <c r="AF6" s="237"/>
      <c r="AG6" s="237"/>
      <c r="AH6" s="237"/>
      <c r="AI6" s="237"/>
      <c r="AJ6" s="237"/>
      <c r="AK6" s="237"/>
      <c r="AL6" s="237"/>
      <c r="AM6" s="237"/>
      <c r="AN6" s="237"/>
      <c r="AO6" s="237"/>
      <c r="AP6" s="237"/>
      <c r="AQ6" s="250"/>
      <c r="AR6" s="250"/>
      <c r="AS6" s="250"/>
      <c r="AT6" s="250"/>
      <c r="AU6" s="250"/>
      <c r="AV6" s="250"/>
      <c r="AW6" s="250"/>
      <c r="AX6" s="250"/>
      <c r="AY6" s="250"/>
      <c r="AZ6" s="250"/>
      <c r="BA6" s="250"/>
      <c r="BB6" s="250"/>
      <c r="BC6" s="250"/>
      <c r="BD6" s="250"/>
      <c r="BE6" s="250"/>
      <c r="BF6" s="250"/>
      <c r="BG6" s="250"/>
      <c r="BH6" s="250"/>
      <c r="BI6" s="250"/>
      <c r="BJ6" s="250"/>
      <c r="BK6" s="250"/>
      <c r="BL6" s="250"/>
      <c r="BM6" s="250"/>
      <c r="BN6" s="250"/>
      <c r="BO6" s="250"/>
      <c r="BP6" s="250"/>
      <c r="BQ6" s="250"/>
      <c r="BR6" s="250"/>
      <c r="BS6" s="250"/>
      <c r="BT6" s="250"/>
      <c r="BU6" s="250"/>
      <c r="BV6" s="250"/>
      <c r="BW6" s="250"/>
      <c r="BX6" s="250"/>
      <c r="BY6" s="250"/>
      <c r="BZ6" s="250"/>
      <c r="CA6" s="250"/>
      <c r="CB6" s="250"/>
      <c r="CC6" s="250"/>
      <c r="CD6" s="250"/>
      <c r="CE6" s="250"/>
      <c r="CF6" s="250"/>
      <c r="CG6" s="250"/>
      <c r="CH6" s="250"/>
      <c r="CI6" s="250"/>
      <c r="CJ6" s="250"/>
      <c r="CK6" s="250"/>
      <c r="CL6" s="250"/>
      <c r="CM6" s="250"/>
      <c r="CN6" s="250"/>
      <c r="CO6" s="250"/>
      <c r="CP6" s="250"/>
      <c r="CQ6" s="250"/>
      <c r="CR6" s="250"/>
      <c r="CS6" s="250"/>
      <c r="CT6" s="250"/>
      <c r="CU6" s="250"/>
      <c r="CV6" s="250"/>
      <c r="CW6" s="250"/>
      <c r="CX6" s="250"/>
      <c r="CY6" s="250"/>
    </row>
    <row r="7" customFormat="1" customHeight="1" spans="1:103">
      <c r="A7" s="255"/>
      <c r="B7" s="72" t="s">
        <v>51</v>
      </c>
      <c r="C7" s="72" t="s">
        <v>52</v>
      </c>
      <c r="D7" s="73"/>
      <c r="E7" s="73"/>
      <c r="F7" s="73"/>
      <c r="G7" s="73" t="s">
        <v>152</v>
      </c>
      <c r="H7" s="47">
        <v>46051</v>
      </c>
      <c r="I7" s="47"/>
      <c r="J7" s="47"/>
      <c r="K7" s="42"/>
      <c r="L7" s="42"/>
      <c r="M7" s="253"/>
      <c r="N7" s="254"/>
      <c r="O7" s="29"/>
      <c r="P7" s="33"/>
      <c r="Q7" s="237"/>
      <c r="R7" s="237"/>
      <c r="S7" s="237"/>
      <c r="T7" s="237"/>
      <c r="U7" s="237"/>
      <c r="V7" s="237"/>
      <c r="W7" s="237"/>
      <c r="X7" s="237"/>
      <c r="Y7" s="237"/>
      <c r="Z7" s="237"/>
      <c r="AA7" s="237"/>
      <c r="AB7" s="237"/>
      <c r="AC7" s="237"/>
      <c r="AD7" s="237"/>
      <c r="AE7" s="237"/>
      <c r="AF7" s="237"/>
      <c r="AG7" s="237"/>
      <c r="AH7" s="237"/>
      <c r="AI7" s="237"/>
      <c r="AJ7" s="237"/>
      <c r="AK7" s="237"/>
      <c r="AL7" s="237"/>
      <c r="AM7" s="237"/>
      <c r="AN7" s="237"/>
      <c r="AO7" s="237"/>
      <c r="AP7" s="237"/>
      <c r="AQ7" s="250"/>
      <c r="AR7" s="250"/>
      <c r="AS7" s="250"/>
      <c r="AT7" s="250"/>
      <c r="AU7" s="250"/>
      <c r="AV7" s="250"/>
      <c r="AW7" s="250"/>
      <c r="AX7" s="250"/>
      <c r="AY7" s="250"/>
      <c r="AZ7" s="250"/>
      <c r="BA7" s="250"/>
      <c r="BB7" s="250"/>
      <c r="BC7" s="250"/>
      <c r="BD7" s="250"/>
      <c r="BE7" s="250"/>
      <c r="BF7" s="250"/>
      <c r="BG7" s="250"/>
      <c r="BH7" s="250"/>
      <c r="BI7" s="250"/>
      <c r="BJ7" s="250"/>
      <c r="BK7" s="250"/>
      <c r="BL7" s="250"/>
      <c r="BM7" s="250"/>
      <c r="BN7" s="250"/>
      <c r="BO7" s="250"/>
      <c r="BP7" s="250"/>
      <c r="BQ7" s="250"/>
      <c r="BR7" s="250"/>
      <c r="BS7" s="250"/>
      <c r="BT7" s="250"/>
      <c r="BU7" s="250"/>
      <c r="BV7" s="250"/>
      <c r="BW7" s="250"/>
      <c r="BX7" s="250"/>
      <c r="BY7" s="250"/>
      <c r="BZ7" s="250"/>
      <c r="CA7" s="250"/>
      <c r="CB7" s="250"/>
      <c r="CC7" s="250"/>
      <c r="CD7" s="250"/>
      <c r="CE7" s="250"/>
      <c r="CF7" s="250"/>
      <c r="CG7" s="250"/>
      <c r="CH7" s="250"/>
      <c r="CI7" s="250"/>
      <c r="CJ7" s="250"/>
      <c r="CK7" s="250"/>
      <c r="CL7" s="250"/>
      <c r="CM7" s="250"/>
      <c r="CN7" s="250"/>
      <c r="CO7" s="250"/>
      <c r="CP7" s="250"/>
      <c r="CQ7" s="250"/>
      <c r="CR7" s="250"/>
      <c r="CS7" s="250"/>
      <c r="CT7" s="250"/>
      <c r="CU7" s="250"/>
      <c r="CV7" s="250"/>
      <c r="CW7" s="250"/>
      <c r="CX7" s="250"/>
      <c r="CY7" s="250"/>
    </row>
    <row r="8" customFormat="1" customHeight="1" spans="1:103">
      <c r="A8" s="255"/>
      <c r="B8" s="72" t="s">
        <v>51</v>
      </c>
      <c r="C8" s="72" t="s">
        <v>52</v>
      </c>
      <c r="D8" s="73"/>
      <c r="E8" s="73"/>
      <c r="F8" s="73"/>
      <c r="G8" s="73" t="s">
        <v>153</v>
      </c>
      <c r="H8" s="47">
        <v>46051</v>
      </c>
      <c r="I8" s="47"/>
      <c r="J8" s="47"/>
      <c r="K8" s="42"/>
      <c r="L8" s="42"/>
      <c r="M8" s="253"/>
      <c r="N8" s="254"/>
      <c r="O8" s="29"/>
      <c r="P8" s="33"/>
      <c r="Q8" s="237"/>
      <c r="R8" s="237"/>
      <c r="S8" s="237"/>
      <c r="T8" s="237"/>
      <c r="U8" s="237"/>
      <c r="V8" s="237"/>
      <c r="W8" s="237"/>
      <c r="X8" s="237"/>
      <c r="Y8" s="237"/>
      <c r="Z8" s="237"/>
      <c r="AA8" s="237"/>
      <c r="AB8" s="237"/>
      <c r="AC8" s="237"/>
      <c r="AD8" s="237"/>
      <c r="AE8" s="237"/>
      <c r="AF8" s="237"/>
      <c r="AG8" s="237"/>
      <c r="AH8" s="237"/>
      <c r="AI8" s="237"/>
      <c r="AJ8" s="237"/>
      <c r="AK8" s="237"/>
      <c r="AL8" s="237"/>
      <c r="AM8" s="237"/>
      <c r="AN8" s="237"/>
      <c r="AO8" s="237"/>
      <c r="AP8" s="237"/>
      <c r="AQ8" s="250"/>
      <c r="AR8" s="250"/>
      <c r="AS8" s="250"/>
      <c r="AT8" s="250"/>
      <c r="AU8" s="250"/>
      <c r="AV8" s="250"/>
      <c r="AW8" s="250"/>
      <c r="AX8" s="250"/>
      <c r="AY8" s="250"/>
      <c r="AZ8" s="250"/>
      <c r="BA8" s="250"/>
      <c r="BB8" s="250"/>
      <c r="BC8" s="250"/>
      <c r="BD8" s="250"/>
      <c r="BE8" s="250"/>
      <c r="BF8" s="250"/>
      <c r="BG8" s="250"/>
      <c r="BH8" s="250"/>
      <c r="BI8" s="250"/>
      <c r="BJ8" s="250"/>
      <c r="BK8" s="250"/>
      <c r="BL8" s="250"/>
      <c r="BM8" s="250"/>
      <c r="BN8" s="250"/>
      <c r="BO8" s="250"/>
      <c r="BP8" s="250"/>
      <c r="BQ8" s="250"/>
      <c r="BR8" s="250"/>
      <c r="BS8" s="250"/>
      <c r="BT8" s="250"/>
      <c r="BU8" s="250"/>
      <c r="BV8" s="250"/>
      <c r="BW8" s="250"/>
      <c r="BX8" s="250"/>
      <c r="BY8" s="250"/>
      <c r="BZ8" s="250"/>
      <c r="CA8" s="250"/>
      <c r="CB8" s="250"/>
      <c r="CC8" s="250"/>
      <c r="CD8" s="250"/>
      <c r="CE8" s="250"/>
      <c r="CF8" s="250"/>
      <c r="CG8" s="250"/>
      <c r="CH8" s="250"/>
      <c r="CI8" s="250"/>
      <c r="CJ8" s="250"/>
      <c r="CK8" s="250"/>
      <c r="CL8" s="250"/>
      <c r="CM8" s="250"/>
      <c r="CN8" s="250"/>
      <c r="CO8" s="250"/>
      <c r="CP8" s="250"/>
      <c r="CQ8" s="250"/>
      <c r="CR8" s="250"/>
      <c r="CS8" s="250"/>
      <c r="CT8" s="250"/>
      <c r="CU8" s="250"/>
      <c r="CV8" s="250"/>
      <c r="CW8" s="250"/>
      <c r="CX8" s="250"/>
      <c r="CY8" s="250"/>
    </row>
    <row r="9" customFormat="1" customHeight="1" spans="1:103">
      <c r="A9" s="255"/>
      <c r="B9" s="72" t="s">
        <v>51</v>
      </c>
      <c r="C9" s="72" t="s">
        <v>52</v>
      </c>
      <c r="D9" s="73"/>
      <c r="E9" s="73"/>
      <c r="F9" s="73"/>
      <c r="G9" s="73" t="s">
        <v>154</v>
      </c>
      <c r="H9" s="47">
        <v>46051</v>
      </c>
      <c r="I9" s="47"/>
      <c r="J9" s="47"/>
      <c r="K9" s="42"/>
      <c r="L9" s="42"/>
      <c r="M9" s="253"/>
      <c r="N9" s="254"/>
      <c r="O9" s="29"/>
      <c r="P9" s="33"/>
      <c r="Q9" s="237"/>
      <c r="R9" s="237"/>
      <c r="S9" s="237"/>
      <c r="T9" s="237"/>
      <c r="U9" s="237"/>
      <c r="V9" s="237"/>
      <c r="W9" s="237"/>
      <c r="X9" s="237"/>
      <c r="Y9" s="237"/>
      <c r="Z9" s="237"/>
      <c r="AA9" s="237"/>
      <c r="AB9" s="237"/>
      <c r="AC9" s="237"/>
      <c r="AD9" s="237"/>
      <c r="AE9" s="237"/>
      <c r="AF9" s="237"/>
      <c r="AG9" s="237"/>
      <c r="AH9" s="237"/>
      <c r="AI9" s="237"/>
      <c r="AJ9" s="237"/>
      <c r="AK9" s="237"/>
      <c r="AL9" s="237"/>
      <c r="AM9" s="237"/>
      <c r="AN9" s="237"/>
      <c r="AO9" s="237"/>
      <c r="AP9" s="237"/>
      <c r="AQ9" s="250"/>
      <c r="AR9" s="250"/>
      <c r="AS9" s="250"/>
      <c r="AT9" s="250"/>
      <c r="AU9" s="250"/>
      <c r="AV9" s="250"/>
      <c r="AW9" s="250"/>
      <c r="AX9" s="250"/>
      <c r="AY9" s="250"/>
      <c r="AZ9" s="250"/>
      <c r="BA9" s="250"/>
      <c r="BB9" s="250"/>
      <c r="BC9" s="250"/>
      <c r="BD9" s="250"/>
      <c r="BE9" s="250"/>
      <c r="BF9" s="250"/>
      <c r="BG9" s="250"/>
      <c r="BH9" s="250"/>
      <c r="BI9" s="250"/>
      <c r="BJ9" s="250"/>
      <c r="BK9" s="250"/>
      <c r="BL9" s="250"/>
      <c r="BM9" s="250"/>
      <c r="BN9" s="250"/>
      <c r="BO9" s="250"/>
      <c r="BP9" s="250"/>
      <c r="BQ9" s="250"/>
      <c r="BR9" s="250"/>
      <c r="BS9" s="250"/>
      <c r="BT9" s="250"/>
      <c r="BU9" s="250"/>
      <c r="BV9" s="250"/>
      <c r="BW9" s="250"/>
      <c r="BX9" s="250"/>
      <c r="BY9" s="250"/>
      <c r="BZ9" s="250"/>
      <c r="CA9" s="250"/>
      <c r="CB9" s="250"/>
      <c r="CC9" s="250"/>
      <c r="CD9" s="250"/>
      <c r="CE9" s="250"/>
      <c r="CF9" s="250"/>
      <c r="CG9" s="250"/>
      <c r="CH9" s="250"/>
      <c r="CI9" s="250"/>
      <c r="CJ9" s="250"/>
      <c r="CK9" s="250"/>
      <c r="CL9" s="250"/>
      <c r="CM9" s="250"/>
      <c r="CN9" s="250"/>
      <c r="CO9" s="250"/>
      <c r="CP9" s="250"/>
      <c r="CQ9" s="250"/>
      <c r="CR9" s="250"/>
      <c r="CS9" s="250"/>
      <c r="CT9" s="250"/>
      <c r="CU9" s="250"/>
      <c r="CV9" s="250"/>
      <c r="CW9" s="250"/>
      <c r="CX9" s="250"/>
      <c r="CY9" s="250"/>
    </row>
    <row r="10" s="247" customFormat="1" customHeight="1" spans="1:103">
      <c r="A10" s="255"/>
      <c r="B10" s="72" t="s">
        <v>51</v>
      </c>
      <c r="C10" s="72" t="s">
        <v>52</v>
      </c>
      <c r="D10" s="73"/>
      <c r="E10" s="73"/>
      <c r="F10" s="73"/>
      <c r="G10" s="73" t="s">
        <v>155</v>
      </c>
      <c r="H10" s="47">
        <v>46051</v>
      </c>
      <c r="I10" s="256">
        <v>46134</v>
      </c>
      <c r="J10" s="47"/>
      <c r="K10" s="47"/>
      <c r="L10" s="47"/>
      <c r="M10" s="257"/>
      <c r="N10" s="258"/>
      <c r="O10" s="73"/>
      <c r="P10" s="79"/>
      <c r="Q10" s="237"/>
      <c r="R10" s="237"/>
      <c r="S10" s="237"/>
      <c r="T10" s="237"/>
      <c r="U10" s="237"/>
      <c r="V10" s="237"/>
      <c r="W10" s="237"/>
      <c r="X10" s="237"/>
      <c r="Y10" s="237"/>
      <c r="Z10" s="237"/>
      <c r="AA10" s="237"/>
      <c r="AB10" s="237"/>
      <c r="AC10" s="237"/>
      <c r="AD10" s="237"/>
      <c r="AE10" s="237"/>
      <c r="AF10" s="237"/>
      <c r="AG10" s="237"/>
      <c r="AH10" s="237"/>
      <c r="AI10" s="237"/>
      <c r="AJ10" s="237"/>
      <c r="AK10" s="237"/>
      <c r="AL10" s="237"/>
      <c r="AM10" s="237"/>
      <c r="AN10" s="237"/>
      <c r="AO10" s="237"/>
      <c r="AP10" s="237"/>
      <c r="AQ10" s="259"/>
      <c r="AR10" s="259"/>
      <c r="AS10" s="259"/>
      <c r="AT10" s="259"/>
      <c r="AU10" s="259"/>
      <c r="AV10" s="259"/>
      <c r="AW10" s="259"/>
      <c r="AX10" s="259"/>
      <c r="AY10" s="259"/>
      <c r="AZ10" s="259"/>
      <c r="BA10" s="259"/>
      <c r="BB10" s="259"/>
      <c r="BC10" s="259"/>
      <c r="BD10" s="259"/>
      <c r="BE10" s="259"/>
      <c r="BF10" s="259"/>
      <c r="BG10" s="259"/>
      <c r="BH10" s="259"/>
      <c r="BI10" s="259"/>
      <c r="BJ10" s="259"/>
      <c r="BK10" s="259"/>
      <c r="BL10" s="259"/>
      <c r="BM10" s="259"/>
      <c r="BN10" s="259"/>
      <c r="BO10" s="259"/>
      <c r="BP10" s="259"/>
      <c r="BQ10" s="259"/>
      <c r="BR10" s="259"/>
      <c r="BS10" s="259"/>
      <c r="BT10" s="259"/>
      <c r="BU10" s="259"/>
      <c r="BV10" s="259"/>
      <c r="BW10" s="259"/>
      <c r="BX10" s="259"/>
      <c r="BY10" s="259"/>
      <c r="BZ10" s="259"/>
      <c r="CA10" s="259"/>
      <c r="CB10" s="259"/>
      <c r="CC10" s="259"/>
      <c r="CD10" s="259"/>
      <c r="CE10" s="259"/>
      <c r="CF10" s="259"/>
      <c r="CG10" s="259"/>
      <c r="CH10" s="259"/>
      <c r="CI10" s="259"/>
      <c r="CJ10" s="259"/>
      <c r="CK10" s="259"/>
      <c r="CL10" s="259"/>
      <c r="CM10" s="259"/>
      <c r="CN10" s="259"/>
      <c r="CO10" s="259"/>
      <c r="CP10" s="259"/>
      <c r="CQ10" s="259"/>
      <c r="CR10" s="259"/>
      <c r="CS10" s="259"/>
      <c r="CT10" s="259"/>
      <c r="CU10" s="259"/>
      <c r="CV10" s="259"/>
      <c r="CW10" s="259"/>
      <c r="CX10" s="259"/>
      <c r="CY10" s="259"/>
    </row>
    <row r="11" s="247" customFormat="1" customHeight="1" spans="1:103">
      <c r="A11" s="255"/>
      <c r="B11" s="72" t="s">
        <v>51</v>
      </c>
      <c r="C11" s="72" t="s">
        <v>52</v>
      </c>
      <c r="D11" s="73"/>
      <c r="E11" s="73"/>
      <c r="F11" s="73"/>
      <c r="G11" s="73" t="s">
        <v>156</v>
      </c>
      <c r="H11" s="47">
        <v>46051</v>
      </c>
      <c r="I11" s="256">
        <v>46134</v>
      </c>
      <c r="J11" s="47"/>
      <c r="K11" s="47"/>
      <c r="L11" s="47"/>
      <c r="M11" s="257"/>
      <c r="N11" s="258"/>
      <c r="O11" s="73"/>
      <c r="P11" s="79"/>
      <c r="Q11" s="237"/>
      <c r="R11" s="237"/>
      <c r="S11" s="237"/>
      <c r="T11" s="237"/>
      <c r="U11" s="237"/>
      <c r="V11" s="237"/>
      <c r="W11" s="237"/>
      <c r="X11" s="237"/>
      <c r="Y11" s="237"/>
      <c r="Z11" s="237"/>
      <c r="AA11" s="237"/>
      <c r="AB11" s="237"/>
      <c r="AC11" s="237"/>
      <c r="AD11" s="237"/>
      <c r="AE11" s="237"/>
      <c r="AF11" s="237"/>
      <c r="AG11" s="237"/>
      <c r="AH11" s="237"/>
      <c r="AI11" s="237"/>
      <c r="AJ11" s="237"/>
      <c r="AK11" s="237"/>
      <c r="AL11" s="237"/>
      <c r="AM11" s="237"/>
      <c r="AN11" s="237"/>
      <c r="AO11" s="237"/>
      <c r="AP11" s="237"/>
      <c r="AQ11" s="259"/>
      <c r="AR11" s="259"/>
      <c r="AS11" s="259"/>
      <c r="AT11" s="259"/>
      <c r="AU11" s="259"/>
      <c r="AV11" s="259"/>
      <c r="AW11" s="259"/>
      <c r="AX11" s="259"/>
      <c r="AY11" s="259"/>
      <c r="AZ11" s="259"/>
      <c r="BA11" s="259"/>
      <c r="BB11" s="259"/>
      <c r="BC11" s="259"/>
      <c r="BD11" s="259"/>
      <c r="BE11" s="259"/>
      <c r="BF11" s="259"/>
      <c r="BG11" s="259"/>
      <c r="BH11" s="259"/>
      <c r="BI11" s="259"/>
      <c r="BJ11" s="259"/>
      <c r="BK11" s="259"/>
      <c r="BL11" s="259"/>
      <c r="BM11" s="259"/>
      <c r="BN11" s="259"/>
      <c r="BO11" s="259"/>
      <c r="BP11" s="259"/>
      <c r="BQ11" s="259"/>
      <c r="BR11" s="259"/>
      <c r="BS11" s="259"/>
      <c r="BT11" s="259"/>
      <c r="BU11" s="259"/>
      <c r="BV11" s="259"/>
      <c r="BW11" s="259"/>
      <c r="BX11" s="259"/>
      <c r="BY11" s="259"/>
      <c r="BZ11" s="259"/>
      <c r="CA11" s="259"/>
      <c r="CB11" s="259"/>
      <c r="CC11" s="259"/>
      <c r="CD11" s="259"/>
      <c r="CE11" s="259"/>
      <c r="CF11" s="259"/>
      <c r="CG11" s="259"/>
      <c r="CH11" s="259"/>
      <c r="CI11" s="259"/>
      <c r="CJ11" s="259"/>
      <c r="CK11" s="259"/>
      <c r="CL11" s="259"/>
      <c r="CM11" s="259"/>
      <c r="CN11" s="259"/>
      <c r="CO11" s="259"/>
      <c r="CP11" s="259"/>
      <c r="CQ11" s="259"/>
      <c r="CR11" s="259"/>
      <c r="CS11" s="259"/>
      <c r="CT11" s="259"/>
      <c r="CU11" s="259"/>
      <c r="CV11" s="259"/>
      <c r="CW11" s="259"/>
      <c r="CX11" s="259"/>
      <c r="CY11" s="259"/>
    </row>
    <row r="12" customFormat="1" customHeight="1" spans="1:103">
      <c r="A12" s="255"/>
      <c r="B12" s="72" t="s">
        <v>51</v>
      </c>
      <c r="C12" s="72" t="s">
        <v>52</v>
      </c>
      <c r="D12" s="73"/>
      <c r="E12" s="73"/>
      <c r="F12" s="73"/>
      <c r="G12" s="73" t="s">
        <v>157</v>
      </c>
      <c r="H12" s="47">
        <v>46051</v>
      </c>
      <c r="I12" s="47"/>
      <c r="J12" s="47"/>
      <c r="K12" s="42"/>
      <c r="L12" s="42"/>
      <c r="M12" s="253"/>
      <c r="N12" s="254"/>
      <c r="O12" s="29"/>
      <c r="P12" s="33"/>
      <c r="Q12" s="237"/>
      <c r="R12" s="237"/>
      <c r="S12" s="237"/>
      <c r="T12" s="237"/>
      <c r="U12" s="237"/>
      <c r="V12" s="237"/>
      <c r="W12" s="237"/>
      <c r="X12" s="237"/>
      <c r="Y12" s="237"/>
      <c r="Z12" s="237"/>
      <c r="AA12" s="237"/>
      <c r="AB12" s="237"/>
      <c r="AC12" s="237"/>
      <c r="AD12" s="237"/>
      <c r="AE12" s="237"/>
      <c r="AF12" s="237"/>
      <c r="AG12" s="237"/>
      <c r="AH12" s="237"/>
      <c r="AI12" s="237"/>
      <c r="AJ12" s="237"/>
      <c r="AK12" s="237"/>
      <c r="AL12" s="237"/>
      <c r="AM12" s="237"/>
      <c r="AN12" s="237"/>
      <c r="AO12" s="237"/>
      <c r="AP12" s="237"/>
      <c r="AQ12" s="250"/>
      <c r="AR12" s="250"/>
      <c r="AS12" s="250"/>
      <c r="AT12" s="250"/>
      <c r="AU12" s="250"/>
      <c r="AV12" s="250"/>
      <c r="AW12" s="250"/>
      <c r="AX12" s="250"/>
      <c r="AY12" s="250"/>
      <c r="AZ12" s="250"/>
      <c r="BA12" s="250"/>
      <c r="BB12" s="250"/>
      <c r="BC12" s="250"/>
      <c r="BD12" s="250"/>
      <c r="BE12" s="250"/>
      <c r="BF12" s="250"/>
      <c r="BG12" s="250"/>
      <c r="BH12" s="250"/>
      <c r="BI12" s="250"/>
      <c r="BJ12" s="250"/>
      <c r="BK12" s="250"/>
      <c r="BL12" s="250"/>
      <c r="BM12" s="250"/>
      <c r="BN12" s="250"/>
      <c r="BO12" s="250"/>
      <c r="BP12" s="250"/>
      <c r="BQ12" s="250"/>
      <c r="BR12" s="250"/>
      <c r="BS12" s="250"/>
      <c r="BT12" s="250"/>
      <c r="BU12" s="250"/>
      <c r="BV12" s="250"/>
      <c r="BW12" s="250"/>
      <c r="BX12" s="250"/>
      <c r="BY12" s="250"/>
      <c r="BZ12" s="250"/>
      <c r="CA12" s="250"/>
      <c r="CB12" s="250"/>
      <c r="CC12" s="250"/>
      <c r="CD12" s="250"/>
      <c r="CE12" s="250"/>
      <c r="CF12" s="250"/>
      <c r="CG12" s="250"/>
      <c r="CH12" s="250"/>
      <c r="CI12" s="250"/>
      <c r="CJ12" s="250"/>
      <c r="CK12" s="250"/>
      <c r="CL12" s="250"/>
      <c r="CM12" s="250"/>
      <c r="CN12" s="250"/>
      <c r="CO12" s="250"/>
      <c r="CP12" s="250"/>
      <c r="CQ12" s="250"/>
      <c r="CR12" s="250"/>
      <c r="CS12" s="250"/>
      <c r="CT12" s="250"/>
      <c r="CU12" s="250"/>
      <c r="CV12" s="250"/>
      <c r="CW12" s="250"/>
      <c r="CX12" s="250"/>
      <c r="CY12" s="250"/>
    </row>
    <row r="13" s="247" customFormat="1" customHeight="1" spans="1:103">
      <c r="A13" s="255"/>
      <c r="B13" s="72" t="s">
        <v>51</v>
      </c>
      <c r="C13" s="72" t="s">
        <v>52</v>
      </c>
      <c r="D13" s="73"/>
      <c r="E13" s="73"/>
      <c r="F13" s="73"/>
      <c r="G13" s="73" t="s">
        <v>158</v>
      </c>
      <c r="H13" s="47">
        <v>46051</v>
      </c>
      <c r="I13" s="256">
        <v>46134</v>
      </c>
      <c r="J13" s="47"/>
      <c r="K13" s="47"/>
      <c r="L13" s="47"/>
      <c r="M13" s="257"/>
      <c r="N13" s="258"/>
      <c r="O13" s="73"/>
      <c r="P13" s="79"/>
      <c r="Q13" s="237"/>
      <c r="R13" s="237"/>
      <c r="S13" s="237"/>
      <c r="T13" s="237"/>
      <c r="U13" s="237"/>
      <c r="V13" s="237"/>
      <c r="W13" s="237"/>
      <c r="X13" s="237"/>
      <c r="Y13" s="237"/>
      <c r="Z13" s="237"/>
      <c r="AA13" s="237"/>
      <c r="AB13" s="237"/>
      <c r="AC13" s="237"/>
      <c r="AD13" s="237"/>
      <c r="AE13" s="237"/>
      <c r="AF13" s="237"/>
      <c r="AG13" s="237"/>
      <c r="AH13" s="237"/>
      <c r="AI13" s="237"/>
      <c r="AJ13" s="237"/>
      <c r="AK13" s="237"/>
      <c r="AL13" s="237"/>
      <c r="AM13" s="237"/>
      <c r="AN13" s="237"/>
      <c r="AO13" s="237"/>
      <c r="AP13" s="237"/>
      <c r="AQ13" s="259"/>
      <c r="AR13" s="259"/>
      <c r="AS13" s="259"/>
      <c r="AT13" s="259"/>
      <c r="AU13" s="259"/>
      <c r="AV13" s="259"/>
      <c r="AW13" s="259"/>
      <c r="AX13" s="259"/>
      <c r="AY13" s="259"/>
      <c r="AZ13" s="259"/>
      <c r="BA13" s="259"/>
      <c r="BB13" s="259"/>
      <c r="BC13" s="259"/>
      <c r="BD13" s="259"/>
      <c r="BE13" s="259"/>
      <c r="BF13" s="259"/>
      <c r="BG13" s="259"/>
      <c r="BH13" s="259"/>
      <c r="BI13" s="259"/>
      <c r="BJ13" s="259"/>
      <c r="BK13" s="259"/>
      <c r="BL13" s="259"/>
      <c r="BM13" s="259"/>
      <c r="BN13" s="259"/>
      <c r="BO13" s="259"/>
      <c r="BP13" s="259"/>
      <c r="BQ13" s="259"/>
      <c r="BR13" s="259"/>
      <c r="BS13" s="259"/>
      <c r="BT13" s="259"/>
      <c r="BU13" s="259"/>
      <c r="BV13" s="259"/>
      <c r="BW13" s="259"/>
      <c r="BX13" s="259"/>
      <c r="BY13" s="259"/>
      <c r="BZ13" s="259"/>
      <c r="CA13" s="259"/>
      <c r="CB13" s="259"/>
      <c r="CC13" s="259"/>
      <c r="CD13" s="259"/>
      <c r="CE13" s="259"/>
      <c r="CF13" s="259"/>
      <c r="CG13" s="259"/>
      <c r="CH13" s="259"/>
      <c r="CI13" s="259"/>
      <c r="CJ13" s="259"/>
      <c r="CK13" s="259"/>
      <c r="CL13" s="259"/>
      <c r="CM13" s="259"/>
      <c r="CN13" s="259"/>
      <c r="CO13" s="259"/>
      <c r="CP13" s="259"/>
      <c r="CQ13" s="259"/>
      <c r="CR13" s="259"/>
      <c r="CS13" s="259"/>
      <c r="CT13" s="259"/>
      <c r="CU13" s="259"/>
      <c r="CV13" s="259"/>
      <c r="CW13" s="259"/>
      <c r="CX13" s="259"/>
      <c r="CY13" s="259"/>
    </row>
    <row r="14" s="247" customFormat="1" customHeight="1" spans="1:103">
      <c r="A14" s="255"/>
      <c r="B14" s="72" t="s">
        <v>51</v>
      </c>
      <c r="C14" s="72" t="s">
        <v>52</v>
      </c>
      <c r="D14" s="73"/>
      <c r="E14" s="73"/>
      <c r="F14" s="73"/>
      <c r="G14" s="73" t="s">
        <v>159</v>
      </c>
      <c r="H14" s="47">
        <v>46051</v>
      </c>
      <c r="I14" s="256">
        <v>46134</v>
      </c>
      <c r="J14" s="47"/>
      <c r="K14" s="47"/>
      <c r="L14" s="47"/>
      <c r="M14" s="257"/>
      <c r="N14" s="258"/>
      <c r="O14" s="73"/>
      <c r="P14" s="79"/>
      <c r="Q14" s="237"/>
      <c r="R14" s="237"/>
      <c r="S14" s="237"/>
      <c r="T14" s="237"/>
      <c r="U14" s="237"/>
      <c r="V14" s="237"/>
      <c r="W14" s="237"/>
      <c r="X14" s="237"/>
      <c r="Y14" s="237"/>
      <c r="Z14" s="237"/>
      <c r="AA14" s="237"/>
      <c r="AB14" s="237"/>
      <c r="AC14" s="237"/>
      <c r="AD14" s="237"/>
      <c r="AE14" s="237"/>
      <c r="AF14" s="237"/>
      <c r="AG14" s="237"/>
      <c r="AH14" s="237"/>
      <c r="AI14" s="237"/>
      <c r="AJ14" s="237"/>
      <c r="AK14" s="237"/>
      <c r="AL14" s="237"/>
      <c r="AM14" s="237"/>
      <c r="AN14" s="237"/>
      <c r="AO14" s="237"/>
      <c r="AP14" s="237"/>
      <c r="AQ14" s="259"/>
      <c r="AR14" s="259"/>
      <c r="AS14" s="259"/>
      <c r="AT14" s="259"/>
      <c r="AU14" s="259"/>
      <c r="AV14" s="259"/>
      <c r="AW14" s="259"/>
      <c r="AX14" s="259"/>
      <c r="AY14" s="259"/>
      <c r="AZ14" s="259"/>
      <c r="BA14" s="259"/>
      <c r="BB14" s="259"/>
      <c r="BC14" s="259"/>
      <c r="BD14" s="259"/>
      <c r="BE14" s="259"/>
      <c r="BF14" s="259"/>
      <c r="BG14" s="259"/>
      <c r="BH14" s="259"/>
      <c r="BI14" s="259"/>
      <c r="BJ14" s="259"/>
      <c r="BK14" s="259"/>
      <c r="BL14" s="259"/>
      <c r="BM14" s="259"/>
      <c r="BN14" s="259"/>
      <c r="BO14" s="259"/>
      <c r="BP14" s="259"/>
      <c r="BQ14" s="259"/>
      <c r="BR14" s="259"/>
      <c r="BS14" s="259"/>
      <c r="BT14" s="259"/>
      <c r="BU14" s="259"/>
      <c r="BV14" s="259"/>
      <c r="BW14" s="259"/>
      <c r="BX14" s="259"/>
      <c r="BY14" s="259"/>
      <c r="BZ14" s="259"/>
      <c r="CA14" s="259"/>
      <c r="CB14" s="259"/>
      <c r="CC14" s="259"/>
      <c r="CD14" s="259"/>
      <c r="CE14" s="259"/>
      <c r="CF14" s="259"/>
      <c r="CG14" s="259"/>
      <c r="CH14" s="259"/>
      <c r="CI14" s="259"/>
      <c r="CJ14" s="259"/>
      <c r="CK14" s="259"/>
      <c r="CL14" s="259"/>
      <c r="CM14" s="259"/>
      <c r="CN14" s="259"/>
      <c r="CO14" s="259"/>
      <c r="CP14" s="259"/>
      <c r="CQ14" s="259"/>
      <c r="CR14" s="259"/>
      <c r="CS14" s="259"/>
      <c r="CT14" s="259"/>
      <c r="CU14" s="259"/>
      <c r="CV14" s="259"/>
      <c r="CW14" s="259"/>
      <c r="CX14" s="259"/>
      <c r="CY14" s="259"/>
    </row>
    <row r="15" customFormat="1" customHeight="1" spans="1:103">
      <c r="A15" s="255"/>
      <c r="B15" s="72" t="s">
        <v>51</v>
      </c>
      <c r="C15" s="72" t="s">
        <v>52</v>
      </c>
      <c r="D15" s="73"/>
      <c r="E15" s="73"/>
      <c r="F15" s="73"/>
      <c r="G15" s="73" t="s">
        <v>160</v>
      </c>
      <c r="H15" s="47">
        <v>46051</v>
      </c>
      <c r="I15" s="47"/>
      <c r="J15" s="47"/>
      <c r="K15" s="42"/>
      <c r="L15" s="42"/>
      <c r="M15" s="253"/>
      <c r="N15" s="254"/>
      <c r="O15" s="29"/>
      <c r="P15" s="33"/>
      <c r="Q15" s="237"/>
      <c r="R15" s="237"/>
      <c r="S15" s="237"/>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c r="AP15" s="237"/>
      <c r="AQ15" s="250"/>
      <c r="AR15" s="250"/>
      <c r="AS15" s="250"/>
      <c r="AT15" s="250"/>
      <c r="AU15" s="250"/>
      <c r="AV15" s="250"/>
      <c r="AW15" s="250"/>
      <c r="AX15" s="250"/>
      <c r="AY15" s="250"/>
      <c r="AZ15" s="250"/>
      <c r="BA15" s="250"/>
      <c r="BB15" s="250"/>
      <c r="BC15" s="250"/>
      <c r="BD15" s="250"/>
      <c r="BE15" s="250"/>
      <c r="BF15" s="250"/>
      <c r="BG15" s="250"/>
      <c r="BH15" s="250"/>
      <c r="BI15" s="250"/>
      <c r="BJ15" s="250"/>
      <c r="BK15" s="250"/>
      <c r="BL15" s="250"/>
      <c r="BM15" s="250"/>
      <c r="BN15" s="250"/>
      <c r="BO15" s="250"/>
      <c r="BP15" s="250"/>
      <c r="BQ15" s="250"/>
      <c r="BR15" s="250"/>
      <c r="BS15" s="250"/>
      <c r="BT15" s="250"/>
      <c r="BU15" s="250"/>
      <c r="BV15" s="250"/>
      <c r="BW15" s="250"/>
      <c r="BX15" s="250"/>
      <c r="BY15" s="250"/>
      <c r="BZ15" s="250"/>
      <c r="CA15" s="250"/>
      <c r="CB15" s="250"/>
      <c r="CC15" s="250"/>
      <c r="CD15" s="250"/>
      <c r="CE15" s="250"/>
      <c r="CF15" s="250"/>
      <c r="CG15" s="250"/>
      <c r="CH15" s="250"/>
      <c r="CI15" s="250"/>
      <c r="CJ15" s="250"/>
      <c r="CK15" s="250"/>
      <c r="CL15" s="250"/>
      <c r="CM15" s="250"/>
      <c r="CN15" s="250"/>
      <c r="CO15" s="250"/>
      <c r="CP15" s="250"/>
      <c r="CQ15" s="250"/>
      <c r="CR15" s="250"/>
      <c r="CS15" s="250"/>
      <c r="CT15" s="250"/>
      <c r="CU15" s="250"/>
      <c r="CV15" s="250"/>
      <c r="CW15" s="250"/>
      <c r="CX15" s="250"/>
      <c r="CY15" s="250"/>
    </row>
    <row r="16" customFormat="1" customHeight="1" spans="1:103">
      <c r="A16" s="255"/>
      <c r="B16" s="72" t="s">
        <v>51</v>
      </c>
      <c r="C16" s="72" t="s">
        <v>52</v>
      </c>
      <c r="D16" s="73"/>
      <c r="E16" s="73"/>
      <c r="F16" s="73"/>
      <c r="G16" s="73" t="s">
        <v>161</v>
      </c>
      <c r="H16" s="47">
        <v>46051</v>
      </c>
      <c r="I16" s="47"/>
      <c r="J16" s="47"/>
      <c r="K16" s="42"/>
      <c r="L16" s="42"/>
      <c r="M16" s="253"/>
      <c r="N16" s="254"/>
      <c r="O16" s="29"/>
      <c r="P16" s="33"/>
      <c r="Q16" s="237"/>
      <c r="R16" s="237"/>
      <c r="S16" s="237"/>
      <c r="T16" s="237"/>
      <c r="U16" s="237"/>
      <c r="V16" s="237"/>
      <c r="W16" s="237"/>
      <c r="X16" s="237"/>
      <c r="Y16" s="237"/>
      <c r="Z16" s="237"/>
      <c r="AA16" s="237"/>
      <c r="AB16" s="237"/>
      <c r="AC16" s="237"/>
      <c r="AD16" s="237"/>
      <c r="AE16" s="237"/>
      <c r="AF16" s="237"/>
      <c r="AG16" s="237"/>
      <c r="AH16" s="237"/>
      <c r="AI16" s="237"/>
      <c r="AJ16" s="237"/>
      <c r="AK16" s="237"/>
      <c r="AL16" s="237"/>
      <c r="AM16" s="237"/>
      <c r="AN16" s="237"/>
      <c r="AO16" s="237"/>
      <c r="AP16" s="237"/>
      <c r="AQ16" s="250"/>
      <c r="AR16" s="250"/>
      <c r="AS16" s="250"/>
      <c r="AT16" s="250"/>
      <c r="AU16" s="250"/>
      <c r="AV16" s="250"/>
      <c r="AW16" s="250"/>
      <c r="AX16" s="250"/>
      <c r="AY16" s="250"/>
      <c r="AZ16" s="250"/>
      <c r="BA16" s="250"/>
      <c r="BB16" s="250"/>
      <c r="BC16" s="250"/>
      <c r="BD16" s="250"/>
      <c r="BE16" s="250"/>
      <c r="BF16" s="250"/>
      <c r="BG16" s="250"/>
      <c r="BH16" s="250"/>
      <c r="BI16" s="250"/>
      <c r="BJ16" s="250"/>
      <c r="BK16" s="250"/>
      <c r="BL16" s="250"/>
      <c r="BM16" s="250"/>
      <c r="BN16" s="250"/>
      <c r="BO16" s="250"/>
      <c r="BP16" s="250"/>
      <c r="BQ16" s="250"/>
      <c r="BR16" s="250"/>
      <c r="BS16" s="250"/>
      <c r="BT16" s="250"/>
      <c r="BU16" s="250"/>
      <c r="BV16" s="250"/>
      <c r="BW16" s="250"/>
      <c r="BX16" s="250"/>
      <c r="BY16" s="250"/>
      <c r="BZ16" s="250"/>
      <c r="CA16" s="250"/>
      <c r="CB16" s="250"/>
      <c r="CC16" s="250"/>
      <c r="CD16" s="250"/>
      <c r="CE16" s="250"/>
      <c r="CF16" s="250"/>
      <c r="CG16" s="250"/>
      <c r="CH16" s="250"/>
      <c r="CI16" s="250"/>
      <c r="CJ16" s="250"/>
      <c r="CK16" s="250"/>
      <c r="CL16" s="250"/>
      <c r="CM16" s="250"/>
      <c r="CN16" s="250"/>
      <c r="CO16" s="250"/>
      <c r="CP16" s="250"/>
      <c r="CQ16" s="250"/>
      <c r="CR16" s="250"/>
      <c r="CS16" s="250"/>
      <c r="CT16" s="250"/>
      <c r="CU16" s="250"/>
      <c r="CV16" s="250"/>
      <c r="CW16" s="250"/>
      <c r="CX16" s="250"/>
      <c r="CY16" s="250"/>
    </row>
    <row r="17" customFormat="1" customHeight="1" spans="1:103">
      <c r="A17" s="255"/>
      <c r="B17" s="72" t="s">
        <v>51</v>
      </c>
      <c r="C17" s="72" t="s">
        <v>52</v>
      </c>
      <c r="D17" s="73"/>
      <c r="E17" s="73"/>
      <c r="F17" s="73"/>
      <c r="G17" s="73" t="s">
        <v>162</v>
      </c>
      <c r="H17" s="47">
        <v>46051</v>
      </c>
      <c r="I17" s="47"/>
      <c r="J17" s="47"/>
      <c r="K17" s="42"/>
      <c r="L17" s="42"/>
      <c r="M17" s="253"/>
      <c r="N17" s="254"/>
      <c r="O17" s="29"/>
      <c r="P17" s="33"/>
      <c r="Q17" s="237"/>
      <c r="R17" s="237"/>
      <c r="S17" s="237"/>
      <c r="T17" s="237"/>
      <c r="U17" s="237"/>
      <c r="V17" s="237"/>
      <c r="W17" s="237"/>
      <c r="X17" s="237"/>
      <c r="Y17" s="237"/>
      <c r="Z17" s="237"/>
      <c r="AA17" s="237"/>
      <c r="AB17" s="237"/>
      <c r="AC17" s="237"/>
      <c r="AD17" s="237"/>
      <c r="AE17" s="237"/>
      <c r="AF17" s="237"/>
      <c r="AG17" s="237"/>
      <c r="AH17" s="237"/>
      <c r="AI17" s="237"/>
      <c r="AJ17" s="237"/>
      <c r="AK17" s="237"/>
      <c r="AL17" s="237"/>
      <c r="AM17" s="237"/>
      <c r="AN17" s="237"/>
      <c r="AO17" s="237"/>
      <c r="AP17" s="237"/>
      <c r="AQ17" s="250"/>
      <c r="AR17" s="250"/>
      <c r="AS17" s="250"/>
      <c r="AT17" s="250"/>
      <c r="AU17" s="250"/>
      <c r="AV17" s="250"/>
      <c r="AW17" s="250"/>
      <c r="AX17" s="250"/>
      <c r="AY17" s="250"/>
      <c r="AZ17" s="250"/>
      <c r="BA17" s="250"/>
      <c r="BB17" s="250"/>
      <c r="BC17" s="250"/>
      <c r="BD17" s="250"/>
      <c r="BE17" s="250"/>
      <c r="BF17" s="250"/>
      <c r="BG17" s="250"/>
      <c r="BH17" s="250"/>
      <c r="BI17" s="250"/>
      <c r="BJ17" s="250"/>
      <c r="BK17" s="250"/>
      <c r="BL17" s="250"/>
      <c r="BM17" s="250"/>
      <c r="BN17" s="250"/>
      <c r="BO17" s="250"/>
      <c r="BP17" s="250"/>
      <c r="BQ17" s="250"/>
      <c r="BR17" s="250"/>
      <c r="BS17" s="250"/>
      <c r="BT17" s="250"/>
      <c r="BU17" s="250"/>
      <c r="BV17" s="250"/>
      <c r="BW17" s="250"/>
      <c r="BX17" s="250"/>
      <c r="BY17" s="250"/>
      <c r="BZ17" s="250"/>
      <c r="CA17" s="250"/>
      <c r="CB17" s="250"/>
      <c r="CC17" s="250"/>
      <c r="CD17" s="250"/>
      <c r="CE17" s="250"/>
      <c r="CF17" s="250"/>
      <c r="CG17" s="250"/>
      <c r="CH17" s="250"/>
      <c r="CI17" s="250"/>
      <c r="CJ17" s="250"/>
      <c r="CK17" s="250"/>
      <c r="CL17" s="250"/>
      <c r="CM17" s="250"/>
      <c r="CN17" s="250"/>
      <c r="CO17" s="250"/>
      <c r="CP17" s="250"/>
      <c r="CQ17" s="250"/>
      <c r="CR17" s="250"/>
      <c r="CS17" s="250"/>
      <c r="CT17" s="250"/>
      <c r="CU17" s="250"/>
      <c r="CV17" s="250"/>
      <c r="CW17" s="250"/>
      <c r="CX17" s="250"/>
      <c r="CY17" s="250"/>
    </row>
    <row r="18" customFormat="1" customHeight="1" spans="1:103">
      <c r="A18" s="255"/>
      <c r="B18" s="72" t="s">
        <v>51</v>
      </c>
      <c r="C18" s="72" t="s">
        <v>52</v>
      </c>
      <c r="D18" s="73"/>
      <c r="E18" s="73"/>
      <c r="F18" s="73"/>
      <c r="G18" s="73" t="s">
        <v>163</v>
      </c>
      <c r="H18" s="47">
        <v>46051</v>
      </c>
      <c r="I18" s="47"/>
      <c r="J18" s="47"/>
      <c r="K18" s="42"/>
      <c r="L18" s="42"/>
      <c r="M18" s="253"/>
      <c r="N18" s="254"/>
      <c r="O18" s="29"/>
      <c r="P18" s="33"/>
      <c r="Q18" s="237"/>
      <c r="R18" s="237"/>
      <c r="S18" s="237"/>
      <c r="T18" s="237"/>
      <c r="U18" s="237"/>
      <c r="V18" s="237"/>
      <c r="W18" s="237"/>
      <c r="X18" s="237"/>
      <c r="Y18" s="237"/>
      <c r="Z18" s="237"/>
      <c r="AA18" s="237"/>
      <c r="AB18" s="237"/>
      <c r="AC18" s="237"/>
      <c r="AD18" s="237"/>
      <c r="AE18" s="237"/>
      <c r="AF18" s="237"/>
      <c r="AG18" s="237"/>
      <c r="AH18" s="237"/>
      <c r="AI18" s="237"/>
      <c r="AJ18" s="237"/>
      <c r="AK18" s="237"/>
      <c r="AL18" s="237"/>
      <c r="AM18" s="237"/>
      <c r="AN18" s="237"/>
      <c r="AO18" s="237"/>
      <c r="AP18" s="237"/>
      <c r="AQ18" s="250"/>
      <c r="AR18" s="250"/>
      <c r="AS18" s="250"/>
      <c r="AT18" s="250"/>
      <c r="AU18" s="250"/>
      <c r="AV18" s="250"/>
      <c r="AW18" s="250"/>
      <c r="AX18" s="250"/>
      <c r="AY18" s="250"/>
      <c r="AZ18" s="250"/>
      <c r="BA18" s="250"/>
      <c r="BB18" s="250"/>
      <c r="BC18" s="250"/>
      <c r="BD18" s="250"/>
      <c r="BE18" s="250"/>
      <c r="BF18" s="250"/>
      <c r="BG18" s="250"/>
      <c r="BH18" s="250"/>
      <c r="BI18" s="250"/>
      <c r="BJ18" s="250"/>
      <c r="BK18" s="250"/>
      <c r="BL18" s="250"/>
      <c r="BM18" s="250"/>
      <c r="BN18" s="250"/>
      <c r="BO18" s="250"/>
      <c r="BP18" s="250"/>
      <c r="BQ18" s="250"/>
      <c r="BR18" s="250"/>
      <c r="BS18" s="250"/>
      <c r="BT18" s="250"/>
      <c r="BU18" s="250"/>
      <c r="BV18" s="250"/>
      <c r="BW18" s="250"/>
      <c r="BX18" s="250"/>
      <c r="BY18" s="250"/>
      <c r="BZ18" s="250"/>
      <c r="CA18" s="250"/>
      <c r="CB18" s="250"/>
      <c r="CC18" s="250"/>
      <c r="CD18" s="250"/>
      <c r="CE18" s="250"/>
      <c r="CF18" s="250"/>
      <c r="CG18" s="250"/>
      <c r="CH18" s="250"/>
      <c r="CI18" s="250"/>
      <c r="CJ18" s="250"/>
      <c r="CK18" s="250"/>
      <c r="CL18" s="250"/>
      <c r="CM18" s="250"/>
      <c r="CN18" s="250"/>
      <c r="CO18" s="250"/>
      <c r="CP18" s="250"/>
      <c r="CQ18" s="250"/>
      <c r="CR18" s="250"/>
      <c r="CS18" s="250"/>
      <c r="CT18" s="250"/>
      <c r="CU18" s="250"/>
      <c r="CV18" s="250"/>
      <c r="CW18" s="250"/>
      <c r="CX18" s="250"/>
      <c r="CY18" s="250"/>
    </row>
    <row r="19" customFormat="1" customHeight="1" spans="1:103">
      <c r="A19" s="255"/>
      <c r="B19" s="72" t="s">
        <v>51</v>
      </c>
      <c r="C19" s="72" t="s">
        <v>52</v>
      </c>
      <c r="D19" s="73"/>
      <c r="E19" s="73"/>
      <c r="F19" s="73"/>
      <c r="G19" s="73" t="s">
        <v>164</v>
      </c>
      <c r="H19" s="47">
        <v>46051</v>
      </c>
      <c r="I19" s="47"/>
      <c r="J19" s="47"/>
      <c r="K19" s="42"/>
      <c r="L19" s="42"/>
      <c r="M19" s="253"/>
      <c r="N19" s="254"/>
      <c r="O19" s="29"/>
      <c r="P19" s="33"/>
      <c r="Q19" s="237"/>
      <c r="R19" s="237"/>
      <c r="S19" s="237"/>
      <c r="T19" s="237"/>
      <c r="U19" s="237"/>
      <c r="V19" s="237"/>
      <c r="W19" s="237"/>
      <c r="X19" s="237"/>
      <c r="Y19" s="237"/>
      <c r="Z19" s="237"/>
      <c r="AA19" s="237"/>
      <c r="AB19" s="237"/>
      <c r="AC19" s="237"/>
      <c r="AD19" s="237"/>
      <c r="AE19" s="237"/>
      <c r="AF19" s="237"/>
      <c r="AG19" s="237"/>
      <c r="AH19" s="237"/>
      <c r="AI19" s="237"/>
      <c r="AJ19" s="237"/>
      <c r="AK19" s="237"/>
      <c r="AL19" s="237"/>
      <c r="AM19" s="237"/>
      <c r="AN19" s="237"/>
      <c r="AO19" s="237"/>
      <c r="AP19" s="237"/>
      <c r="AQ19" s="250"/>
      <c r="AR19" s="250"/>
      <c r="AS19" s="250"/>
      <c r="AT19" s="250"/>
      <c r="AU19" s="250"/>
      <c r="AV19" s="250"/>
      <c r="AW19" s="250"/>
      <c r="AX19" s="250"/>
      <c r="AY19" s="250"/>
      <c r="AZ19" s="250"/>
      <c r="BA19" s="250"/>
      <c r="BB19" s="250"/>
      <c r="BC19" s="250"/>
      <c r="BD19" s="250"/>
      <c r="BE19" s="250"/>
      <c r="BF19" s="250"/>
      <c r="BG19" s="250"/>
      <c r="BH19" s="250"/>
      <c r="BI19" s="250"/>
      <c r="BJ19" s="250"/>
      <c r="BK19" s="250"/>
      <c r="BL19" s="250"/>
      <c r="BM19" s="250"/>
      <c r="BN19" s="250"/>
      <c r="BO19" s="250"/>
      <c r="BP19" s="250"/>
      <c r="BQ19" s="250"/>
      <c r="BR19" s="250"/>
      <c r="BS19" s="250"/>
      <c r="BT19" s="250"/>
      <c r="BU19" s="250"/>
      <c r="BV19" s="250"/>
      <c r="BW19" s="250"/>
      <c r="BX19" s="250"/>
      <c r="BY19" s="250"/>
      <c r="BZ19" s="250"/>
      <c r="CA19" s="250"/>
      <c r="CB19" s="250"/>
      <c r="CC19" s="250"/>
      <c r="CD19" s="250"/>
      <c r="CE19" s="250"/>
      <c r="CF19" s="250"/>
      <c r="CG19" s="250"/>
      <c r="CH19" s="250"/>
      <c r="CI19" s="250"/>
      <c r="CJ19" s="250"/>
      <c r="CK19" s="250"/>
      <c r="CL19" s="250"/>
      <c r="CM19" s="250"/>
      <c r="CN19" s="250"/>
      <c r="CO19" s="250"/>
      <c r="CP19" s="250"/>
      <c r="CQ19" s="250"/>
      <c r="CR19" s="250"/>
      <c r="CS19" s="250"/>
      <c r="CT19" s="250"/>
      <c r="CU19" s="250"/>
      <c r="CV19" s="250"/>
      <c r="CW19" s="250"/>
      <c r="CX19" s="250"/>
      <c r="CY19" s="250"/>
    </row>
    <row r="20" customFormat="1" customHeight="1" spans="1:103">
      <c r="A20" s="255"/>
      <c r="B20" s="72" t="s">
        <v>51</v>
      </c>
      <c r="C20" s="72" t="s">
        <v>52</v>
      </c>
      <c r="D20" s="73"/>
      <c r="E20" s="73"/>
      <c r="F20" s="73"/>
      <c r="G20" s="73" t="s">
        <v>165</v>
      </c>
      <c r="H20" s="47">
        <v>46051</v>
      </c>
      <c r="I20" s="47"/>
      <c r="J20" s="47"/>
      <c r="K20" s="42"/>
      <c r="L20" s="42"/>
      <c r="M20" s="253"/>
      <c r="N20" s="254"/>
      <c r="O20" s="29"/>
      <c r="P20" s="33"/>
      <c r="Q20" s="237"/>
      <c r="R20" s="237"/>
      <c r="S20" s="237"/>
      <c r="T20" s="237"/>
      <c r="U20" s="237"/>
      <c r="V20" s="237"/>
      <c r="W20" s="237"/>
      <c r="X20" s="237"/>
      <c r="Y20" s="237"/>
      <c r="Z20" s="237"/>
      <c r="AA20" s="237"/>
      <c r="AB20" s="237"/>
      <c r="AC20" s="237"/>
      <c r="AD20" s="237"/>
      <c r="AE20" s="237"/>
      <c r="AF20" s="237"/>
      <c r="AG20" s="237"/>
      <c r="AH20" s="237"/>
      <c r="AI20" s="237"/>
      <c r="AJ20" s="237"/>
      <c r="AK20" s="237"/>
      <c r="AL20" s="237"/>
      <c r="AM20" s="237"/>
      <c r="AN20" s="237"/>
      <c r="AO20" s="237"/>
      <c r="AP20" s="237"/>
      <c r="AQ20" s="250"/>
      <c r="AR20" s="250"/>
      <c r="AS20" s="250"/>
      <c r="AT20" s="250"/>
      <c r="AU20" s="250"/>
      <c r="AV20" s="250"/>
      <c r="AW20" s="250"/>
      <c r="AX20" s="250"/>
      <c r="AY20" s="250"/>
      <c r="AZ20" s="250"/>
      <c r="BA20" s="250"/>
      <c r="BB20" s="250"/>
      <c r="BC20" s="250"/>
      <c r="BD20" s="250"/>
      <c r="BE20" s="250"/>
      <c r="BF20" s="250"/>
      <c r="BG20" s="250"/>
      <c r="BH20" s="250"/>
      <c r="BI20" s="250"/>
      <c r="BJ20" s="250"/>
      <c r="BK20" s="250"/>
      <c r="BL20" s="250"/>
      <c r="BM20" s="250"/>
      <c r="BN20" s="250"/>
      <c r="BO20" s="250"/>
      <c r="BP20" s="250"/>
      <c r="BQ20" s="250"/>
      <c r="BR20" s="250"/>
      <c r="BS20" s="250"/>
      <c r="BT20" s="250"/>
      <c r="BU20" s="250"/>
      <c r="BV20" s="250"/>
      <c r="BW20" s="250"/>
      <c r="BX20" s="250"/>
      <c r="BY20" s="250"/>
      <c r="BZ20" s="250"/>
      <c r="CA20" s="250"/>
      <c r="CB20" s="250"/>
      <c r="CC20" s="250"/>
      <c r="CD20" s="250"/>
      <c r="CE20" s="250"/>
      <c r="CF20" s="250"/>
      <c r="CG20" s="250"/>
      <c r="CH20" s="250"/>
      <c r="CI20" s="250"/>
      <c r="CJ20" s="250"/>
      <c r="CK20" s="250"/>
      <c r="CL20" s="250"/>
      <c r="CM20" s="250"/>
      <c r="CN20" s="250"/>
      <c r="CO20" s="250"/>
      <c r="CP20" s="250"/>
      <c r="CQ20" s="250"/>
      <c r="CR20" s="250"/>
      <c r="CS20" s="250"/>
      <c r="CT20" s="250"/>
      <c r="CU20" s="250"/>
      <c r="CV20" s="250"/>
      <c r="CW20" s="250"/>
      <c r="CX20" s="250"/>
      <c r="CY20" s="250"/>
    </row>
    <row r="21" customFormat="1" customHeight="1" spans="1:103">
      <c r="A21" s="255"/>
      <c r="B21" s="72" t="s">
        <v>51</v>
      </c>
      <c r="C21" s="72" t="s">
        <v>52</v>
      </c>
      <c r="D21" s="73"/>
      <c r="E21" s="73"/>
      <c r="F21" s="73"/>
      <c r="G21" s="73" t="s">
        <v>166</v>
      </c>
      <c r="H21" s="47">
        <v>46051</v>
      </c>
      <c r="I21" s="47"/>
      <c r="J21" s="47"/>
      <c r="K21" s="42"/>
      <c r="L21" s="42"/>
      <c r="M21" s="253"/>
      <c r="N21" s="254"/>
      <c r="O21" s="29"/>
      <c r="P21" s="33"/>
      <c r="Q21" s="237"/>
      <c r="R21" s="237"/>
      <c r="S21" s="237"/>
      <c r="T21" s="237"/>
      <c r="U21" s="237"/>
      <c r="V21" s="237"/>
      <c r="W21" s="237"/>
      <c r="X21" s="237"/>
      <c r="Y21" s="237"/>
      <c r="Z21" s="237"/>
      <c r="AA21" s="237"/>
      <c r="AB21" s="237"/>
      <c r="AC21" s="237"/>
      <c r="AD21" s="237"/>
      <c r="AE21" s="237"/>
      <c r="AF21" s="237"/>
      <c r="AG21" s="237"/>
      <c r="AH21" s="237"/>
      <c r="AI21" s="237"/>
      <c r="AJ21" s="237"/>
      <c r="AK21" s="237"/>
      <c r="AL21" s="237"/>
      <c r="AM21" s="237"/>
      <c r="AN21" s="237"/>
      <c r="AO21" s="237"/>
      <c r="AP21" s="237"/>
      <c r="AQ21" s="250"/>
      <c r="AR21" s="250"/>
      <c r="AS21" s="250"/>
      <c r="AT21" s="250"/>
      <c r="AU21" s="250"/>
      <c r="AV21" s="250"/>
      <c r="AW21" s="250"/>
      <c r="AX21" s="250"/>
      <c r="AY21" s="250"/>
      <c r="AZ21" s="250"/>
      <c r="BA21" s="250"/>
      <c r="BB21" s="250"/>
      <c r="BC21" s="250"/>
      <c r="BD21" s="250"/>
      <c r="BE21" s="250"/>
      <c r="BF21" s="250"/>
      <c r="BG21" s="250"/>
      <c r="BH21" s="250"/>
      <c r="BI21" s="250"/>
      <c r="BJ21" s="250"/>
      <c r="BK21" s="250"/>
      <c r="BL21" s="250"/>
      <c r="BM21" s="250"/>
      <c r="BN21" s="250"/>
      <c r="BO21" s="250"/>
      <c r="BP21" s="250"/>
      <c r="BQ21" s="250"/>
      <c r="BR21" s="250"/>
      <c r="BS21" s="250"/>
      <c r="BT21" s="250"/>
      <c r="BU21" s="250"/>
      <c r="BV21" s="250"/>
      <c r="BW21" s="250"/>
      <c r="BX21" s="250"/>
      <c r="BY21" s="250"/>
      <c r="BZ21" s="250"/>
      <c r="CA21" s="250"/>
      <c r="CB21" s="250"/>
      <c r="CC21" s="250"/>
      <c r="CD21" s="250"/>
      <c r="CE21" s="250"/>
      <c r="CF21" s="250"/>
      <c r="CG21" s="250"/>
      <c r="CH21" s="250"/>
      <c r="CI21" s="250"/>
      <c r="CJ21" s="250"/>
      <c r="CK21" s="250"/>
      <c r="CL21" s="250"/>
      <c r="CM21" s="250"/>
      <c r="CN21" s="250"/>
      <c r="CO21" s="250"/>
      <c r="CP21" s="250"/>
      <c r="CQ21" s="250"/>
      <c r="CR21" s="250"/>
      <c r="CS21" s="250"/>
      <c r="CT21" s="250"/>
      <c r="CU21" s="250"/>
      <c r="CV21" s="250"/>
      <c r="CW21" s="250"/>
      <c r="CX21" s="250"/>
      <c r="CY21" s="250"/>
    </row>
    <row r="22" customFormat="1" customHeight="1" spans="1:103">
      <c r="A22" s="255"/>
      <c r="B22" s="72" t="s">
        <v>51</v>
      </c>
      <c r="C22" s="72" t="s">
        <v>52</v>
      </c>
      <c r="D22" s="73"/>
      <c r="E22" s="73"/>
      <c r="F22" s="73"/>
      <c r="G22" s="73" t="s">
        <v>167</v>
      </c>
      <c r="H22" s="47">
        <v>46051</v>
      </c>
      <c r="I22" s="47"/>
      <c r="J22" s="47"/>
      <c r="K22" s="42"/>
      <c r="L22" s="42"/>
      <c r="M22" s="253"/>
      <c r="N22" s="254"/>
      <c r="O22" s="29"/>
      <c r="P22" s="33"/>
      <c r="Q22" s="237"/>
      <c r="R22" s="237"/>
      <c r="S22" s="237"/>
      <c r="T22" s="237"/>
      <c r="U22" s="237"/>
      <c r="V22" s="237"/>
      <c r="W22" s="237"/>
      <c r="X22" s="237"/>
      <c r="Y22" s="237"/>
      <c r="Z22" s="237"/>
      <c r="AA22" s="237"/>
      <c r="AB22" s="237"/>
      <c r="AC22" s="237"/>
      <c r="AD22" s="237"/>
      <c r="AE22" s="237"/>
      <c r="AF22" s="237"/>
      <c r="AG22" s="237"/>
      <c r="AH22" s="237"/>
      <c r="AI22" s="237"/>
      <c r="AJ22" s="237"/>
      <c r="AK22" s="237"/>
      <c r="AL22" s="237"/>
      <c r="AM22" s="237"/>
      <c r="AN22" s="237"/>
      <c r="AO22" s="237"/>
      <c r="AP22" s="237"/>
      <c r="AQ22" s="250"/>
      <c r="AR22" s="250"/>
      <c r="AS22" s="250"/>
      <c r="AT22" s="250"/>
      <c r="AU22" s="250"/>
      <c r="AV22" s="250"/>
      <c r="AW22" s="250"/>
      <c r="AX22" s="250"/>
      <c r="AY22" s="250"/>
      <c r="AZ22" s="250"/>
      <c r="BA22" s="250"/>
      <c r="BB22" s="250"/>
      <c r="BC22" s="250"/>
      <c r="BD22" s="250"/>
      <c r="BE22" s="250"/>
      <c r="BF22" s="250"/>
      <c r="BG22" s="250"/>
      <c r="BH22" s="250"/>
      <c r="BI22" s="250"/>
      <c r="BJ22" s="250"/>
      <c r="BK22" s="250"/>
      <c r="BL22" s="250"/>
      <c r="BM22" s="250"/>
      <c r="BN22" s="250"/>
      <c r="BO22" s="250"/>
      <c r="BP22" s="250"/>
      <c r="BQ22" s="250"/>
      <c r="BR22" s="250"/>
      <c r="BS22" s="250"/>
      <c r="BT22" s="250"/>
      <c r="BU22" s="250"/>
      <c r="BV22" s="250"/>
      <c r="BW22" s="250"/>
      <c r="BX22" s="250"/>
      <c r="BY22" s="250"/>
      <c r="BZ22" s="250"/>
      <c r="CA22" s="250"/>
      <c r="CB22" s="250"/>
      <c r="CC22" s="250"/>
      <c r="CD22" s="250"/>
      <c r="CE22" s="250"/>
      <c r="CF22" s="250"/>
      <c r="CG22" s="250"/>
      <c r="CH22" s="250"/>
      <c r="CI22" s="250"/>
      <c r="CJ22" s="250"/>
      <c r="CK22" s="250"/>
      <c r="CL22" s="250"/>
      <c r="CM22" s="250"/>
      <c r="CN22" s="250"/>
      <c r="CO22" s="250"/>
      <c r="CP22" s="250"/>
      <c r="CQ22" s="250"/>
      <c r="CR22" s="250"/>
      <c r="CS22" s="250"/>
      <c r="CT22" s="250"/>
      <c r="CU22" s="250"/>
      <c r="CV22" s="250"/>
      <c r="CW22" s="250"/>
      <c r="CX22" s="250"/>
      <c r="CY22" s="250"/>
    </row>
    <row r="23" customFormat="1" customHeight="1" spans="1:103">
      <c r="A23" s="72">
        <v>35</v>
      </c>
      <c r="B23" s="72" t="s">
        <v>51</v>
      </c>
      <c r="C23" s="72" t="s">
        <v>54</v>
      </c>
      <c r="D23" s="73">
        <v>1</v>
      </c>
      <c r="E23" s="73" t="s">
        <v>53</v>
      </c>
      <c r="F23" s="73">
        <v>1.95</v>
      </c>
      <c r="G23" s="73" t="s">
        <v>168</v>
      </c>
      <c r="H23" s="47">
        <v>46051</v>
      </c>
      <c r="I23" s="47"/>
      <c r="J23" s="47">
        <f t="shared" ref="J23:J32" si="0">H23+90</f>
        <v>46141</v>
      </c>
      <c r="K23" s="42">
        <v>46113</v>
      </c>
      <c r="L23" s="42">
        <v>46142</v>
      </c>
      <c r="M23" s="253">
        <v>30</v>
      </c>
      <c r="N23" s="254">
        <f t="shared" ref="N23:N32" si="1">M23*F23*D23</f>
        <v>58.5</v>
      </c>
      <c r="O23" s="29">
        <v>2</v>
      </c>
      <c r="P23" s="33">
        <f>O23*F23*D23</f>
        <v>3.9</v>
      </c>
      <c r="Q23" s="237"/>
      <c r="R23" s="237"/>
      <c r="S23" s="237"/>
      <c r="T23" s="237"/>
      <c r="U23" s="237"/>
      <c r="V23" s="237"/>
      <c r="W23" s="237"/>
      <c r="X23" s="237"/>
      <c r="Y23" s="237"/>
      <c r="Z23" s="237"/>
      <c r="AA23" s="237"/>
      <c r="AB23" s="237"/>
      <c r="AC23" s="237"/>
      <c r="AD23" s="237"/>
      <c r="AE23" s="237"/>
      <c r="AF23" s="237"/>
      <c r="AG23" s="237"/>
      <c r="AH23" s="237"/>
      <c r="AI23" s="237"/>
      <c r="AJ23" s="237"/>
      <c r="AK23" s="237"/>
      <c r="AL23" s="237"/>
      <c r="AM23" s="237"/>
      <c r="AN23" s="237"/>
      <c r="AO23" s="237"/>
      <c r="AP23" s="237"/>
      <c r="AQ23" s="250"/>
      <c r="AR23" s="250"/>
      <c r="AS23" s="250"/>
      <c r="AT23" s="250"/>
      <c r="AU23" s="250"/>
      <c r="AV23" s="250"/>
      <c r="AW23" s="250"/>
      <c r="AX23" s="250"/>
      <c r="AY23" s="250"/>
      <c r="AZ23" s="250"/>
      <c r="BA23" s="250"/>
      <c r="BB23" s="250"/>
      <c r="BC23" s="250"/>
      <c r="BD23" s="250"/>
      <c r="BE23" s="250"/>
      <c r="BF23" s="250"/>
      <c r="BG23" s="250"/>
      <c r="BH23" s="250"/>
      <c r="BI23" s="250"/>
      <c r="BJ23" s="250"/>
      <c r="BK23" s="250"/>
      <c r="BL23" s="250"/>
      <c r="BM23" s="250"/>
      <c r="BN23" s="250"/>
      <c r="BO23" s="250"/>
      <c r="BP23" s="250"/>
      <c r="BQ23" s="250"/>
      <c r="BR23" s="250"/>
      <c r="BS23" s="250"/>
      <c r="BT23" s="250"/>
      <c r="BU23" s="250"/>
      <c r="BV23" s="250"/>
      <c r="BW23" s="250"/>
      <c r="BX23" s="250"/>
      <c r="BY23" s="250"/>
      <c r="BZ23" s="250"/>
      <c r="CA23" s="250"/>
      <c r="CB23" s="250"/>
      <c r="CC23" s="250"/>
      <c r="CD23" s="250"/>
      <c r="CE23" s="250"/>
      <c r="CF23" s="250"/>
      <c r="CG23" s="250"/>
      <c r="CH23" s="250"/>
      <c r="CI23" s="250"/>
      <c r="CJ23" s="250"/>
      <c r="CK23" s="250"/>
      <c r="CL23" s="250"/>
      <c r="CM23" s="250"/>
      <c r="CN23" s="250"/>
      <c r="CO23" s="250"/>
      <c r="CP23" s="250"/>
      <c r="CQ23" s="250"/>
      <c r="CR23" s="250"/>
      <c r="CS23" s="250"/>
      <c r="CT23" s="250"/>
      <c r="CU23" s="250"/>
      <c r="CV23" s="250"/>
      <c r="CW23" s="250"/>
      <c r="CX23" s="250"/>
      <c r="CY23" s="250"/>
    </row>
    <row r="24" customFormat="1" customHeight="1" spans="1:103">
      <c r="A24" s="72">
        <v>35</v>
      </c>
      <c r="B24" s="72" t="s">
        <v>51</v>
      </c>
      <c r="C24" s="72" t="s">
        <v>54</v>
      </c>
      <c r="D24" s="73">
        <v>1</v>
      </c>
      <c r="E24" s="73" t="s">
        <v>53</v>
      </c>
      <c r="F24" s="73">
        <v>1.95</v>
      </c>
      <c r="G24" s="73" t="s">
        <v>169</v>
      </c>
      <c r="H24" s="47">
        <v>46051</v>
      </c>
      <c r="I24" s="47"/>
      <c r="J24" s="47">
        <f t="shared" si="0"/>
        <v>46141</v>
      </c>
      <c r="K24" s="42">
        <v>46113</v>
      </c>
      <c r="L24" s="42">
        <v>46142</v>
      </c>
      <c r="M24" s="253">
        <v>30</v>
      </c>
      <c r="N24" s="254">
        <f t="shared" si="1"/>
        <v>58.5</v>
      </c>
      <c r="O24" s="29">
        <v>2</v>
      </c>
      <c r="P24" s="33">
        <f>O24*F24*D24</f>
        <v>3.9</v>
      </c>
      <c r="Q24" s="237"/>
      <c r="R24" s="237"/>
      <c r="S24" s="237"/>
      <c r="T24" s="237"/>
      <c r="U24" s="237"/>
      <c r="V24" s="237"/>
      <c r="W24" s="237"/>
      <c r="X24" s="237"/>
      <c r="Y24" s="237"/>
      <c r="Z24" s="237"/>
      <c r="AA24" s="237"/>
      <c r="AB24" s="237"/>
      <c r="AC24" s="237"/>
      <c r="AD24" s="237"/>
      <c r="AE24" s="237"/>
      <c r="AF24" s="237"/>
      <c r="AG24" s="237"/>
      <c r="AH24" s="237"/>
      <c r="AI24" s="237"/>
      <c r="AJ24" s="237"/>
      <c r="AK24" s="237"/>
      <c r="AL24" s="237"/>
      <c r="AM24" s="237"/>
      <c r="AN24" s="237"/>
      <c r="AO24" s="237"/>
      <c r="AP24" s="237"/>
      <c r="AQ24" s="250"/>
      <c r="AR24" s="250"/>
      <c r="AS24" s="250"/>
      <c r="AT24" s="250"/>
      <c r="AU24" s="250"/>
      <c r="AV24" s="250"/>
      <c r="AW24" s="250"/>
      <c r="AX24" s="250"/>
      <c r="AY24" s="250"/>
      <c r="AZ24" s="250"/>
      <c r="BA24" s="250"/>
      <c r="BB24" s="250"/>
      <c r="BC24" s="250"/>
      <c r="BD24" s="250"/>
      <c r="BE24" s="250"/>
      <c r="BF24" s="250"/>
      <c r="BG24" s="250"/>
      <c r="BH24" s="250"/>
      <c r="BI24" s="250"/>
      <c r="BJ24" s="250"/>
      <c r="BK24" s="250"/>
      <c r="BL24" s="250"/>
      <c r="BM24" s="250"/>
      <c r="BN24" s="250"/>
      <c r="BO24" s="250"/>
      <c r="BP24" s="250"/>
      <c r="BQ24" s="250"/>
      <c r="BR24" s="250"/>
      <c r="BS24" s="250"/>
      <c r="BT24" s="250"/>
      <c r="BU24" s="250"/>
      <c r="BV24" s="250"/>
      <c r="BW24" s="250"/>
      <c r="BX24" s="250"/>
      <c r="BY24" s="250"/>
      <c r="BZ24" s="250"/>
      <c r="CA24" s="250"/>
      <c r="CB24" s="250"/>
      <c r="CC24" s="250"/>
      <c r="CD24" s="250"/>
      <c r="CE24" s="250"/>
      <c r="CF24" s="250"/>
      <c r="CG24" s="250"/>
      <c r="CH24" s="250"/>
      <c r="CI24" s="250"/>
      <c r="CJ24" s="250"/>
      <c r="CK24" s="250"/>
      <c r="CL24" s="250"/>
      <c r="CM24" s="250"/>
      <c r="CN24" s="250"/>
      <c r="CO24" s="250"/>
      <c r="CP24" s="250"/>
      <c r="CQ24" s="250"/>
      <c r="CR24" s="250"/>
      <c r="CS24" s="250"/>
      <c r="CT24" s="250"/>
      <c r="CU24" s="250"/>
      <c r="CV24" s="250"/>
      <c r="CW24" s="250"/>
      <c r="CX24" s="250"/>
      <c r="CY24" s="250"/>
    </row>
    <row r="25" customFormat="1" customHeight="1" spans="1:103">
      <c r="A25" s="72">
        <v>35</v>
      </c>
      <c r="B25" s="72" t="s">
        <v>51</v>
      </c>
      <c r="C25" s="72" t="s">
        <v>54</v>
      </c>
      <c r="D25" s="73">
        <v>1</v>
      </c>
      <c r="E25" s="73" t="s">
        <v>53</v>
      </c>
      <c r="F25" s="73">
        <v>1.95</v>
      </c>
      <c r="G25" s="73" t="s">
        <v>170</v>
      </c>
      <c r="H25" s="47">
        <v>46051</v>
      </c>
      <c r="I25" s="256">
        <v>46134</v>
      </c>
      <c r="J25" s="47">
        <f t="shared" si="0"/>
        <v>46141</v>
      </c>
      <c r="K25" s="42">
        <v>46113</v>
      </c>
      <c r="L25" s="42">
        <v>46142</v>
      </c>
      <c r="M25" s="253">
        <v>22</v>
      </c>
      <c r="N25" s="254">
        <f t="shared" si="1"/>
        <v>42.9</v>
      </c>
      <c r="O25" s="73">
        <v>0</v>
      </c>
      <c r="P25" s="79">
        <v>0</v>
      </c>
      <c r="Q25" s="237"/>
      <c r="R25" s="237"/>
      <c r="S25" s="237"/>
      <c r="T25" s="237"/>
      <c r="U25" s="237"/>
      <c r="V25" s="237"/>
      <c r="W25" s="237"/>
      <c r="X25" s="237"/>
      <c r="Y25" s="237"/>
      <c r="Z25" s="237"/>
      <c r="AA25" s="237"/>
      <c r="AB25" s="237"/>
      <c r="AC25" s="237"/>
      <c r="AD25" s="237"/>
      <c r="AE25" s="237"/>
      <c r="AF25" s="237"/>
      <c r="AG25" s="237"/>
      <c r="AH25" s="237"/>
      <c r="AI25" s="237"/>
      <c r="AJ25" s="237"/>
      <c r="AK25" s="237"/>
      <c r="AL25" s="237"/>
      <c r="AM25" s="237"/>
      <c r="AN25" s="237"/>
      <c r="AO25" s="237"/>
      <c r="AP25" s="237"/>
      <c r="AQ25" s="250"/>
      <c r="AR25" s="250"/>
      <c r="AS25" s="250"/>
      <c r="AT25" s="250"/>
      <c r="AU25" s="250"/>
      <c r="AV25" s="250"/>
      <c r="AW25" s="250"/>
      <c r="AX25" s="250"/>
      <c r="AY25" s="250"/>
      <c r="AZ25" s="250"/>
      <c r="BA25" s="250"/>
      <c r="BB25" s="250"/>
      <c r="BC25" s="250"/>
      <c r="BD25" s="250"/>
      <c r="BE25" s="250"/>
      <c r="BF25" s="250"/>
      <c r="BG25" s="250"/>
      <c r="BH25" s="250"/>
      <c r="BI25" s="250"/>
      <c r="BJ25" s="250"/>
      <c r="BK25" s="250"/>
      <c r="BL25" s="250"/>
      <c r="BM25" s="250"/>
      <c r="BN25" s="250"/>
      <c r="BO25" s="250"/>
      <c r="BP25" s="250"/>
      <c r="BQ25" s="250"/>
      <c r="BR25" s="250"/>
      <c r="BS25" s="250"/>
      <c r="BT25" s="250"/>
      <c r="BU25" s="250"/>
      <c r="BV25" s="250"/>
      <c r="BW25" s="250"/>
      <c r="BX25" s="250"/>
      <c r="BY25" s="250"/>
      <c r="BZ25" s="250"/>
      <c r="CA25" s="250"/>
      <c r="CB25" s="250"/>
      <c r="CC25" s="250"/>
      <c r="CD25" s="250"/>
      <c r="CE25" s="250"/>
      <c r="CF25" s="250"/>
      <c r="CG25" s="250"/>
      <c r="CH25" s="250"/>
      <c r="CI25" s="250"/>
      <c r="CJ25" s="250"/>
      <c r="CK25" s="250"/>
      <c r="CL25" s="250"/>
      <c r="CM25" s="250"/>
      <c r="CN25" s="250"/>
      <c r="CO25" s="250"/>
      <c r="CP25" s="250"/>
      <c r="CQ25" s="250"/>
      <c r="CR25" s="250"/>
      <c r="CS25" s="250"/>
      <c r="CT25" s="250"/>
      <c r="CU25" s="250"/>
      <c r="CV25" s="250"/>
      <c r="CW25" s="250"/>
      <c r="CX25" s="250"/>
      <c r="CY25" s="250"/>
    </row>
    <row r="26" customFormat="1" customHeight="1" spans="1:103">
      <c r="A26" s="72">
        <v>35</v>
      </c>
      <c r="B26" s="72" t="s">
        <v>51</v>
      </c>
      <c r="C26" s="72" t="s">
        <v>54</v>
      </c>
      <c r="D26" s="73">
        <v>1</v>
      </c>
      <c r="E26" s="73" t="s">
        <v>53</v>
      </c>
      <c r="F26" s="73">
        <v>1.95</v>
      </c>
      <c r="G26" s="73" t="s">
        <v>171</v>
      </c>
      <c r="H26" s="47">
        <v>46051</v>
      </c>
      <c r="I26" s="256">
        <v>46134</v>
      </c>
      <c r="J26" s="47">
        <f t="shared" si="0"/>
        <v>46141</v>
      </c>
      <c r="K26" s="42">
        <v>46113</v>
      </c>
      <c r="L26" s="42">
        <v>46142</v>
      </c>
      <c r="M26" s="253">
        <v>22</v>
      </c>
      <c r="N26" s="254">
        <f t="shared" si="1"/>
        <v>42.9</v>
      </c>
      <c r="O26" s="73">
        <v>0</v>
      </c>
      <c r="P26" s="79">
        <v>0</v>
      </c>
      <c r="Q26" s="237"/>
      <c r="R26" s="237"/>
      <c r="S26" s="237"/>
      <c r="T26" s="237"/>
      <c r="U26" s="237"/>
      <c r="V26" s="237"/>
      <c r="W26" s="237"/>
      <c r="X26" s="237"/>
      <c r="Y26" s="237"/>
      <c r="Z26" s="237"/>
      <c r="AA26" s="237"/>
      <c r="AB26" s="237"/>
      <c r="AC26" s="237"/>
      <c r="AD26" s="237"/>
      <c r="AE26" s="237"/>
      <c r="AF26" s="237"/>
      <c r="AG26" s="237"/>
      <c r="AH26" s="237"/>
      <c r="AI26" s="237"/>
      <c r="AJ26" s="237"/>
      <c r="AK26" s="237"/>
      <c r="AL26" s="237"/>
      <c r="AM26" s="237"/>
      <c r="AN26" s="237"/>
      <c r="AO26" s="237"/>
      <c r="AP26" s="237"/>
      <c r="AQ26" s="250"/>
      <c r="AR26" s="250"/>
      <c r="AS26" s="250"/>
      <c r="AT26" s="250"/>
      <c r="AU26" s="250"/>
      <c r="AV26" s="250"/>
      <c r="AW26" s="250"/>
      <c r="AX26" s="250"/>
      <c r="AY26" s="250"/>
      <c r="AZ26" s="250"/>
      <c r="BA26" s="250"/>
      <c r="BB26" s="250"/>
      <c r="BC26" s="250"/>
      <c r="BD26" s="250"/>
      <c r="BE26" s="250"/>
      <c r="BF26" s="250"/>
      <c r="BG26" s="250"/>
      <c r="BH26" s="250"/>
      <c r="BI26" s="250"/>
      <c r="BJ26" s="250"/>
      <c r="BK26" s="250"/>
      <c r="BL26" s="250"/>
      <c r="BM26" s="250"/>
      <c r="BN26" s="250"/>
      <c r="BO26" s="250"/>
      <c r="BP26" s="250"/>
      <c r="BQ26" s="250"/>
      <c r="BR26" s="250"/>
      <c r="BS26" s="250"/>
      <c r="BT26" s="250"/>
      <c r="BU26" s="250"/>
      <c r="BV26" s="250"/>
      <c r="BW26" s="250"/>
      <c r="BX26" s="250"/>
      <c r="BY26" s="250"/>
      <c r="BZ26" s="250"/>
      <c r="CA26" s="250"/>
      <c r="CB26" s="250"/>
      <c r="CC26" s="250"/>
      <c r="CD26" s="250"/>
      <c r="CE26" s="250"/>
      <c r="CF26" s="250"/>
      <c r="CG26" s="250"/>
      <c r="CH26" s="250"/>
      <c r="CI26" s="250"/>
      <c r="CJ26" s="250"/>
      <c r="CK26" s="250"/>
      <c r="CL26" s="250"/>
      <c r="CM26" s="250"/>
      <c r="CN26" s="250"/>
      <c r="CO26" s="250"/>
      <c r="CP26" s="250"/>
      <c r="CQ26" s="250"/>
      <c r="CR26" s="250"/>
      <c r="CS26" s="250"/>
      <c r="CT26" s="250"/>
      <c r="CU26" s="250"/>
      <c r="CV26" s="250"/>
      <c r="CW26" s="250"/>
      <c r="CX26" s="250"/>
      <c r="CY26" s="250"/>
    </row>
    <row r="27" customFormat="1" customHeight="1" spans="1:103">
      <c r="A27" s="72">
        <v>35</v>
      </c>
      <c r="B27" s="72" t="s">
        <v>51</v>
      </c>
      <c r="C27" s="72" t="s">
        <v>54</v>
      </c>
      <c r="D27" s="73">
        <v>1</v>
      </c>
      <c r="E27" s="73" t="s">
        <v>53</v>
      </c>
      <c r="F27" s="73">
        <v>1.95</v>
      </c>
      <c r="G27" s="73" t="s">
        <v>172</v>
      </c>
      <c r="H27" s="47">
        <v>46051</v>
      </c>
      <c r="I27" s="256">
        <v>46134</v>
      </c>
      <c r="J27" s="47">
        <f t="shared" si="0"/>
        <v>46141</v>
      </c>
      <c r="K27" s="42">
        <v>46113</v>
      </c>
      <c r="L27" s="42">
        <v>46142</v>
      </c>
      <c r="M27" s="253">
        <v>22</v>
      </c>
      <c r="N27" s="254">
        <f t="shared" si="1"/>
        <v>42.9</v>
      </c>
      <c r="O27" s="73">
        <v>0</v>
      </c>
      <c r="P27" s="79">
        <v>0</v>
      </c>
      <c r="Q27" s="237"/>
      <c r="R27" s="237"/>
      <c r="S27" s="237"/>
      <c r="T27" s="237"/>
      <c r="U27" s="237"/>
      <c r="V27" s="237"/>
      <c r="W27" s="237"/>
      <c r="X27" s="237"/>
      <c r="Y27" s="237"/>
      <c r="Z27" s="237"/>
      <c r="AA27" s="237"/>
      <c r="AB27" s="237"/>
      <c r="AC27" s="237"/>
      <c r="AD27" s="237"/>
      <c r="AE27" s="237"/>
      <c r="AF27" s="237"/>
      <c r="AG27" s="237"/>
      <c r="AH27" s="237"/>
      <c r="AI27" s="237"/>
      <c r="AJ27" s="237"/>
      <c r="AK27" s="237"/>
      <c r="AL27" s="237"/>
      <c r="AM27" s="237"/>
      <c r="AN27" s="237"/>
      <c r="AO27" s="237"/>
      <c r="AP27" s="237"/>
      <c r="AQ27" s="250"/>
      <c r="AR27" s="250"/>
      <c r="AS27" s="250"/>
      <c r="AT27" s="250"/>
      <c r="AU27" s="250"/>
      <c r="AV27" s="250"/>
      <c r="AW27" s="250"/>
      <c r="AX27" s="250"/>
      <c r="AY27" s="250"/>
      <c r="AZ27" s="250"/>
      <c r="BA27" s="250"/>
      <c r="BB27" s="250"/>
      <c r="BC27" s="250"/>
      <c r="BD27" s="250"/>
      <c r="BE27" s="250"/>
      <c r="BF27" s="250"/>
      <c r="BG27" s="250"/>
      <c r="BH27" s="250"/>
      <c r="BI27" s="250"/>
      <c r="BJ27" s="250"/>
      <c r="BK27" s="250"/>
      <c r="BL27" s="250"/>
      <c r="BM27" s="250"/>
      <c r="BN27" s="250"/>
      <c r="BO27" s="250"/>
      <c r="BP27" s="250"/>
      <c r="BQ27" s="250"/>
      <c r="BR27" s="250"/>
      <c r="BS27" s="250"/>
      <c r="BT27" s="250"/>
      <c r="BU27" s="250"/>
      <c r="BV27" s="250"/>
      <c r="BW27" s="250"/>
      <c r="BX27" s="250"/>
      <c r="BY27" s="250"/>
      <c r="BZ27" s="250"/>
      <c r="CA27" s="250"/>
      <c r="CB27" s="250"/>
      <c r="CC27" s="250"/>
      <c r="CD27" s="250"/>
      <c r="CE27" s="250"/>
      <c r="CF27" s="250"/>
      <c r="CG27" s="250"/>
      <c r="CH27" s="250"/>
      <c r="CI27" s="250"/>
      <c r="CJ27" s="250"/>
      <c r="CK27" s="250"/>
      <c r="CL27" s="250"/>
      <c r="CM27" s="250"/>
      <c r="CN27" s="250"/>
      <c r="CO27" s="250"/>
      <c r="CP27" s="250"/>
      <c r="CQ27" s="250"/>
      <c r="CR27" s="250"/>
      <c r="CS27" s="250"/>
      <c r="CT27" s="250"/>
      <c r="CU27" s="250"/>
      <c r="CV27" s="250"/>
      <c r="CW27" s="250"/>
      <c r="CX27" s="250"/>
      <c r="CY27" s="250"/>
    </row>
    <row r="28" customFormat="1" customHeight="1" spans="1:103">
      <c r="A28" s="72">
        <v>35</v>
      </c>
      <c r="B28" s="72" t="s">
        <v>51</v>
      </c>
      <c r="C28" s="72" t="s">
        <v>54</v>
      </c>
      <c r="D28" s="73">
        <v>1</v>
      </c>
      <c r="E28" s="73" t="s">
        <v>53</v>
      </c>
      <c r="F28" s="73">
        <v>1.95</v>
      </c>
      <c r="G28" s="73" t="s">
        <v>173</v>
      </c>
      <c r="H28" s="47">
        <v>46051</v>
      </c>
      <c r="I28" s="256">
        <v>46134</v>
      </c>
      <c r="J28" s="47">
        <f t="shared" si="0"/>
        <v>46141</v>
      </c>
      <c r="K28" s="42">
        <v>46113</v>
      </c>
      <c r="L28" s="42">
        <v>46142</v>
      </c>
      <c r="M28" s="253">
        <v>22</v>
      </c>
      <c r="N28" s="254">
        <f t="shared" si="1"/>
        <v>42.9</v>
      </c>
      <c r="O28" s="73">
        <v>0</v>
      </c>
      <c r="P28" s="79">
        <v>0</v>
      </c>
      <c r="Q28" s="237"/>
      <c r="R28" s="237"/>
      <c r="S28" s="237"/>
      <c r="T28" s="237"/>
      <c r="U28" s="237"/>
      <c r="V28" s="237"/>
      <c r="W28" s="237"/>
      <c r="X28" s="237"/>
      <c r="Y28" s="237"/>
      <c r="Z28" s="237"/>
      <c r="AA28" s="237"/>
      <c r="AB28" s="237"/>
      <c r="AC28" s="237"/>
      <c r="AD28" s="237"/>
      <c r="AE28" s="237"/>
      <c r="AF28" s="237"/>
      <c r="AG28" s="237"/>
      <c r="AH28" s="237"/>
      <c r="AI28" s="237"/>
      <c r="AJ28" s="237"/>
      <c r="AK28" s="237"/>
      <c r="AL28" s="237"/>
      <c r="AM28" s="237"/>
      <c r="AN28" s="237"/>
      <c r="AO28" s="237"/>
      <c r="AP28" s="237"/>
      <c r="AQ28" s="250"/>
      <c r="AR28" s="250"/>
      <c r="AS28" s="250"/>
      <c r="AT28" s="250"/>
      <c r="AU28" s="250"/>
      <c r="AV28" s="250"/>
      <c r="AW28" s="250"/>
      <c r="AX28" s="250"/>
      <c r="AY28" s="250"/>
      <c r="AZ28" s="250"/>
      <c r="BA28" s="250"/>
      <c r="BB28" s="250"/>
      <c r="BC28" s="250"/>
      <c r="BD28" s="250"/>
      <c r="BE28" s="250"/>
      <c r="BF28" s="250"/>
      <c r="BG28" s="250"/>
      <c r="BH28" s="250"/>
      <c r="BI28" s="250"/>
      <c r="BJ28" s="250"/>
      <c r="BK28" s="250"/>
      <c r="BL28" s="250"/>
      <c r="BM28" s="250"/>
      <c r="BN28" s="250"/>
      <c r="BO28" s="250"/>
      <c r="BP28" s="250"/>
      <c r="BQ28" s="250"/>
      <c r="BR28" s="250"/>
      <c r="BS28" s="250"/>
      <c r="BT28" s="250"/>
      <c r="BU28" s="250"/>
      <c r="BV28" s="250"/>
      <c r="BW28" s="250"/>
      <c r="BX28" s="250"/>
      <c r="BY28" s="250"/>
      <c r="BZ28" s="250"/>
      <c r="CA28" s="250"/>
      <c r="CB28" s="250"/>
      <c r="CC28" s="250"/>
      <c r="CD28" s="250"/>
      <c r="CE28" s="250"/>
      <c r="CF28" s="250"/>
      <c r="CG28" s="250"/>
      <c r="CH28" s="250"/>
      <c r="CI28" s="250"/>
      <c r="CJ28" s="250"/>
      <c r="CK28" s="250"/>
      <c r="CL28" s="250"/>
      <c r="CM28" s="250"/>
      <c r="CN28" s="250"/>
      <c r="CO28" s="250"/>
      <c r="CP28" s="250"/>
      <c r="CQ28" s="250"/>
      <c r="CR28" s="250"/>
      <c r="CS28" s="250"/>
      <c r="CT28" s="250"/>
      <c r="CU28" s="250"/>
      <c r="CV28" s="250"/>
      <c r="CW28" s="250"/>
      <c r="CX28" s="250"/>
      <c r="CY28" s="250"/>
    </row>
    <row r="29" customFormat="1" customHeight="1" spans="1:103">
      <c r="A29" s="72">
        <v>35</v>
      </c>
      <c r="B29" s="72" t="s">
        <v>51</v>
      </c>
      <c r="C29" s="72" t="s">
        <v>54</v>
      </c>
      <c r="D29" s="73">
        <v>1</v>
      </c>
      <c r="E29" s="73" t="s">
        <v>53</v>
      </c>
      <c r="F29" s="73">
        <v>1.95</v>
      </c>
      <c r="G29" s="73" t="s">
        <v>174</v>
      </c>
      <c r="H29" s="47">
        <v>46051</v>
      </c>
      <c r="I29" s="256">
        <v>46134</v>
      </c>
      <c r="J29" s="47">
        <f t="shared" si="0"/>
        <v>46141</v>
      </c>
      <c r="K29" s="42">
        <v>46113</v>
      </c>
      <c r="L29" s="42">
        <v>46142</v>
      </c>
      <c r="M29" s="253">
        <v>22</v>
      </c>
      <c r="N29" s="254">
        <f t="shared" si="1"/>
        <v>42.9</v>
      </c>
      <c r="O29" s="73">
        <v>0</v>
      </c>
      <c r="P29" s="79">
        <v>0</v>
      </c>
      <c r="Q29" s="237"/>
      <c r="R29" s="237"/>
      <c r="S29" s="237"/>
      <c r="T29" s="237"/>
      <c r="U29" s="237"/>
      <c r="V29" s="237"/>
      <c r="W29" s="237"/>
      <c r="X29" s="237"/>
      <c r="Y29" s="237"/>
      <c r="Z29" s="237"/>
      <c r="AA29" s="237"/>
      <c r="AB29" s="237"/>
      <c r="AC29" s="237"/>
      <c r="AD29" s="237"/>
      <c r="AE29" s="237"/>
      <c r="AF29" s="237"/>
      <c r="AG29" s="237"/>
      <c r="AH29" s="237"/>
      <c r="AI29" s="237"/>
      <c r="AJ29" s="237"/>
      <c r="AK29" s="237"/>
      <c r="AL29" s="237"/>
      <c r="AM29" s="237"/>
      <c r="AN29" s="237"/>
      <c r="AO29" s="237"/>
      <c r="AP29" s="237"/>
      <c r="AQ29" s="250"/>
      <c r="AR29" s="250"/>
      <c r="AS29" s="250"/>
      <c r="AT29" s="250"/>
      <c r="AU29" s="250"/>
      <c r="AV29" s="250"/>
      <c r="AW29" s="250"/>
      <c r="AX29" s="250"/>
      <c r="AY29" s="250"/>
      <c r="AZ29" s="250"/>
      <c r="BA29" s="250"/>
      <c r="BB29" s="250"/>
      <c r="BC29" s="250"/>
      <c r="BD29" s="250"/>
      <c r="BE29" s="250"/>
      <c r="BF29" s="250"/>
      <c r="BG29" s="250"/>
      <c r="BH29" s="250"/>
      <c r="BI29" s="250"/>
      <c r="BJ29" s="250"/>
      <c r="BK29" s="250"/>
      <c r="BL29" s="250"/>
      <c r="BM29" s="250"/>
      <c r="BN29" s="250"/>
      <c r="BO29" s="250"/>
      <c r="BP29" s="250"/>
      <c r="BQ29" s="250"/>
      <c r="BR29" s="250"/>
      <c r="BS29" s="250"/>
      <c r="BT29" s="250"/>
      <c r="BU29" s="250"/>
      <c r="BV29" s="250"/>
      <c r="BW29" s="250"/>
      <c r="BX29" s="250"/>
      <c r="BY29" s="250"/>
      <c r="BZ29" s="250"/>
      <c r="CA29" s="250"/>
      <c r="CB29" s="250"/>
      <c r="CC29" s="250"/>
      <c r="CD29" s="250"/>
      <c r="CE29" s="250"/>
      <c r="CF29" s="250"/>
      <c r="CG29" s="250"/>
      <c r="CH29" s="250"/>
      <c r="CI29" s="250"/>
      <c r="CJ29" s="250"/>
      <c r="CK29" s="250"/>
      <c r="CL29" s="250"/>
      <c r="CM29" s="250"/>
      <c r="CN29" s="250"/>
      <c r="CO29" s="250"/>
      <c r="CP29" s="250"/>
      <c r="CQ29" s="250"/>
      <c r="CR29" s="250"/>
      <c r="CS29" s="250"/>
      <c r="CT29" s="250"/>
      <c r="CU29" s="250"/>
      <c r="CV29" s="250"/>
      <c r="CW29" s="250"/>
      <c r="CX29" s="250"/>
      <c r="CY29" s="250"/>
    </row>
    <row r="30" customFormat="1" customHeight="1" spans="1:103">
      <c r="A30" s="72">
        <v>35</v>
      </c>
      <c r="B30" s="72" t="s">
        <v>51</v>
      </c>
      <c r="C30" s="72" t="s">
        <v>54</v>
      </c>
      <c r="D30" s="73">
        <v>1</v>
      </c>
      <c r="E30" s="73" t="s">
        <v>53</v>
      </c>
      <c r="F30" s="73">
        <v>1.95</v>
      </c>
      <c r="G30" s="73" t="s">
        <v>175</v>
      </c>
      <c r="H30" s="47">
        <v>46051</v>
      </c>
      <c r="I30" s="256">
        <v>46134</v>
      </c>
      <c r="J30" s="47">
        <f t="shared" si="0"/>
        <v>46141</v>
      </c>
      <c r="K30" s="42">
        <v>46113</v>
      </c>
      <c r="L30" s="42">
        <v>46142</v>
      </c>
      <c r="M30" s="253">
        <v>22</v>
      </c>
      <c r="N30" s="254">
        <f t="shared" si="1"/>
        <v>42.9</v>
      </c>
      <c r="O30" s="73">
        <v>0</v>
      </c>
      <c r="P30" s="79">
        <v>0</v>
      </c>
      <c r="Q30" s="237"/>
      <c r="R30" s="237"/>
      <c r="S30" s="237"/>
      <c r="T30" s="237"/>
      <c r="U30" s="237"/>
      <c r="V30" s="237"/>
      <c r="W30" s="237"/>
      <c r="X30" s="237"/>
      <c r="Y30" s="237"/>
      <c r="Z30" s="237"/>
      <c r="AA30" s="237"/>
      <c r="AB30" s="237"/>
      <c r="AC30" s="237"/>
      <c r="AD30" s="237"/>
      <c r="AE30" s="237"/>
      <c r="AF30" s="237"/>
      <c r="AG30" s="237"/>
      <c r="AH30" s="237"/>
      <c r="AI30" s="237"/>
      <c r="AJ30" s="237"/>
      <c r="AK30" s="237"/>
      <c r="AL30" s="237"/>
      <c r="AM30" s="237"/>
      <c r="AN30" s="237"/>
      <c r="AO30" s="237"/>
      <c r="AP30" s="237"/>
      <c r="AQ30" s="250"/>
      <c r="AR30" s="250"/>
      <c r="AS30" s="250"/>
      <c r="AT30" s="250"/>
      <c r="AU30" s="250"/>
      <c r="AV30" s="250"/>
      <c r="AW30" s="250"/>
      <c r="AX30" s="250"/>
      <c r="AY30" s="250"/>
      <c r="AZ30" s="250"/>
      <c r="BA30" s="250"/>
      <c r="BB30" s="250"/>
      <c r="BC30" s="250"/>
      <c r="BD30" s="250"/>
      <c r="BE30" s="250"/>
      <c r="BF30" s="250"/>
      <c r="BG30" s="250"/>
      <c r="BH30" s="250"/>
      <c r="BI30" s="250"/>
      <c r="BJ30" s="250"/>
      <c r="BK30" s="250"/>
      <c r="BL30" s="250"/>
      <c r="BM30" s="250"/>
      <c r="BN30" s="250"/>
      <c r="BO30" s="250"/>
      <c r="BP30" s="250"/>
      <c r="BQ30" s="250"/>
      <c r="BR30" s="250"/>
      <c r="BS30" s="250"/>
      <c r="BT30" s="250"/>
      <c r="BU30" s="250"/>
      <c r="BV30" s="250"/>
      <c r="BW30" s="250"/>
      <c r="BX30" s="250"/>
      <c r="BY30" s="250"/>
      <c r="BZ30" s="250"/>
      <c r="CA30" s="250"/>
      <c r="CB30" s="250"/>
      <c r="CC30" s="250"/>
      <c r="CD30" s="250"/>
      <c r="CE30" s="250"/>
      <c r="CF30" s="250"/>
      <c r="CG30" s="250"/>
      <c r="CH30" s="250"/>
      <c r="CI30" s="250"/>
      <c r="CJ30" s="250"/>
      <c r="CK30" s="250"/>
      <c r="CL30" s="250"/>
      <c r="CM30" s="250"/>
      <c r="CN30" s="250"/>
      <c r="CO30" s="250"/>
      <c r="CP30" s="250"/>
      <c r="CQ30" s="250"/>
      <c r="CR30" s="250"/>
      <c r="CS30" s="250"/>
      <c r="CT30" s="250"/>
      <c r="CU30" s="250"/>
      <c r="CV30" s="250"/>
      <c r="CW30" s="250"/>
      <c r="CX30" s="250"/>
      <c r="CY30" s="250"/>
    </row>
    <row r="31" customFormat="1" customHeight="1" spans="1:103">
      <c r="A31" s="72">
        <v>35</v>
      </c>
      <c r="B31" s="72" t="s">
        <v>51</v>
      </c>
      <c r="C31" s="72" t="s">
        <v>54</v>
      </c>
      <c r="D31" s="73">
        <v>1</v>
      </c>
      <c r="E31" s="73" t="s">
        <v>53</v>
      </c>
      <c r="F31" s="73">
        <v>1.95</v>
      </c>
      <c r="G31" s="73" t="s">
        <v>176</v>
      </c>
      <c r="H31" s="47">
        <v>46051</v>
      </c>
      <c r="I31" s="256">
        <v>46134</v>
      </c>
      <c r="J31" s="47">
        <f t="shared" si="0"/>
        <v>46141</v>
      </c>
      <c r="K31" s="42">
        <v>46113</v>
      </c>
      <c r="L31" s="42">
        <v>46142</v>
      </c>
      <c r="M31" s="253">
        <v>22</v>
      </c>
      <c r="N31" s="254">
        <f t="shared" si="1"/>
        <v>42.9</v>
      </c>
      <c r="O31" s="73">
        <v>0</v>
      </c>
      <c r="P31" s="79">
        <v>0</v>
      </c>
      <c r="Q31" s="237"/>
      <c r="R31" s="237"/>
      <c r="S31" s="237"/>
      <c r="T31" s="237"/>
      <c r="U31" s="237"/>
      <c r="V31" s="237"/>
      <c r="W31" s="237"/>
      <c r="X31" s="237"/>
      <c r="Y31" s="237"/>
      <c r="Z31" s="237"/>
      <c r="AA31" s="237"/>
      <c r="AB31" s="237"/>
      <c r="AC31" s="237"/>
      <c r="AD31" s="237"/>
      <c r="AE31" s="237"/>
      <c r="AF31" s="237"/>
      <c r="AG31" s="237"/>
      <c r="AH31" s="237"/>
      <c r="AI31" s="237"/>
      <c r="AJ31" s="237"/>
      <c r="AK31" s="237"/>
      <c r="AL31" s="237"/>
      <c r="AM31" s="237"/>
      <c r="AN31" s="237"/>
      <c r="AO31" s="237"/>
      <c r="AP31" s="237"/>
      <c r="AQ31" s="250"/>
      <c r="AR31" s="250"/>
      <c r="AS31" s="250"/>
      <c r="AT31" s="250"/>
      <c r="AU31" s="250"/>
      <c r="AV31" s="250"/>
      <c r="AW31" s="250"/>
      <c r="AX31" s="250"/>
      <c r="AY31" s="250"/>
      <c r="AZ31" s="250"/>
      <c r="BA31" s="250"/>
      <c r="BB31" s="250"/>
      <c r="BC31" s="250"/>
      <c r="BD31" s="250"/>
      <c r="BE31" s="250"/>
      <c r="BF31" s="250"/>
      <c r="BG31" s="250"/>
      <c r="BH31" s="250"/>
      <c r="BI31" s="250"/>
      <c r="BJ31" s="250"/>
      <c r="BK31" s="250"/>
      <c r="BL31" s="250"/>
      <c r="BM31" s="250"/>
      <c r="BN31" s="250"/>
      <c r="BO31" s="250"/>
      <c r="BP31" s="250"/>
      <c r="BQ31" s="250"/>
      <c r="BR31" s="250"/>
      <c r="BS31" s="250"/>
      <c r="BT31" s="250"/>
      <c r="BU31" s="250"/>
      <c r="BV31" s="250"/>
      <c r="BW31" s="250"/>
      <c r="BX31" s="250"/>
      <c r="BY31" s="250"/>
      <c r="BZ31" s="250"/>
      <c r="CA31" s="250"/>
      <c r="CB31" s="250"/>
      <c r="CC31" s="250"/>
      <c r="CD31" s="250"/>
      <c r="CE31" s="250"/>
      <c r="CF31" s="250"/>
      <c r="CG31" s="250"/>
      <c r="CH31" s="250"/>
      <c r="CI31" s="250"/>
      <c r="CJ31" s="250"/>
      <c r="CK31" s="250"/>
      <c r="CL31" s="250"/>
      <c r="CM31" s="250"/>
      <c r="CN31" s="250"/>
      <c r="CO31" s="250"/>
      <c r="CP31" s="250"/>
      <c r="CQ31" s="250"/>
      <c r="CR31" s="250"/>
      <c r="CS31" s="250"/>
      <c r="CT31" s="250"/>
      <c r="CU31" s="250"/>
      <c r="CV31" s="250"/>
      <c r="CW31" s="250"/>
      <c r="CX31" s="250"/>
      <c r="CY31" s="250"/>
    </row>
    <row r="32" customFormat="1" customHeight="1" spans="1:103">
      <c r="A32" s="72">
        <v>35</v>
      </c>
      <c r="B32" s="72" t="s">
        <v>51</v>
      </c>
      <c r="C32" s="72" t="s">
        <v>54</v>
      </c>
      <c r="D32" s="73">
        <v>1</v>
      </c>
      <c r="E32" s="73" t="s">
        <v>53</v>
      </c>
      <c r="F32" s="73">
        <v>1.95</v>
      </c>
      <c r="G32" s="73" t="s">
        <v>177</v>
      </c>
      <c r="H32" s="47">
        <v>46051</v>
      </c>
      <c r="I32" s="256">
        <v>46134</v>
      </c>
      <c r="J32" s="47">
        <f t="shared" si="0"/>
        <v>46141</v>
      </c>
      <c r="K32" s="42">
        <v>46113</v>
      </c>
      <c r="L32" s="42">
        <v>46142</v>
      </c>
      <c r="M32" s="253">
        <v>22</v>
      </c>
      <c r="N32" s="254">
        <f t="shared" si="1"/>
        <v>42.9</v>
      </c>
      <c r="O32" s="73">
        <v>0</v>
      </c>
      <c r="P32" s="79">
        <v>0</v>
      </c>
      <c r="Q32" s="237"/>
      <c r="R32" s="237"/>
      <c r="S32" s="237"/>
      <c r="T32" s="237"/>
      <c r="U32" s="237"/>
      <c r="V32" s="237"/>
      <c r="W32" s="237"/>
      <c r="X32" s="237"/>
      <c r="Y32" s="237"/>
      <c r="Z32" s="237"/>
      <c r="AA32" s="237"/>
      <c r="AB32" s="237"/>
      <c r="AC32" s="237"/>
      <c r="AD32" s="237"/>
      <c r="AE32" s="237"/>
      <c r="AF32" s="237"/>
      <c r="AG32" s="237"/>
      <c r="AH32" s="237"/>
      <c r="AI32" s="237"/>
      <c r="AJ32" s="237"/>
      <c r="AK32" s="237"/>
      <c r="AL32" s="237"/>
      <c r="AM32" s="237"/>
      <c r="AN32" s="237"/>
      <c r="AO32" s="237"/>
      <c r="AP32" s="237"/>
      <c r="AQ32" s="250"/>
      <c r="AR32" s="250"/>
      <c r="AS32" s="250"/>
      <c r="AT32" s="250"/>
      <c r="AU32" s="250"/>
      <c r="AV32" s="250"/>
      <c r="AW32" s="250"/>
      <c r="AX32" s="250"/>
      <c r="AY32" s="250"/>
      <c r="AZ32" s="250"/>
      <c r="BA32" s="250"/>
      <c r="BB32" s="250"/>
      <c r="BC32" s="250"/>
      <c r="BD32" s="250"/>
      <c r="BE32" s="250"/>
      <c r="BF32" s="250"/>
      <c r="BG32" s="250"/>
      <c r="BH32" s="250"/>
      <c r="BI32" s="250"/>
      <c r="BJ32" s="250"/>
      <c r="BK32" s="250"/>
      <c r="BL32" s="250"/>
      <c r="BM32" s="250"/>
      <c r="BN32" s="250"/>
      <c r="BO32" s="250"/>
      <c r="BP32" s="250"/>
      <c r="BQ32" s="250"/>
      <c r="BR32" s="250"/>
      <c r="BS32" s="250"/>
      <c r="BT32" s="250"/>
      <c r="BU32" s="250"/>
      <c r="BV32" s="250"/>
      <c r="BW32" s="250"/>
      <c r="BX32" s="250"/>
      <c r="BY32" s="250"/>
      <c r="BZ32" s="250"/>
      <c r="CA32" s="250"/>
      <c r="CB32" s="250"/>
      <c r="CC32" s="250"/>
      <c r="CD32" s="250"/>
      <c r="CE32" s="250"/>
      <c r="CF32" s="250"/>
      <c r="CG32" s="250"/>
      <c r="CH32" s="250"/>
      <c r="CI32" s="250"/>
      <c r="CJ32" s="250"/>
      <c r="CK32" s="250"/>
      <c r="CL32" s="250"/>
      <c r="CM32" s="250"/>
      <c r="CN32" s="250"/>
      <c r="CO32" s="250"/>
      <c r="CP32" s="250"/>
      <c r="CQ32" s="250"/>
      <c r="CR32" s="250"/>
      <c r="CS32" s="250"/>
      <c r="CT32" s="250"/>
      <c r="CU32" s="250"/>
      <c r="CV32" s="250"/>
      <c r="CW32" s="250"/>
      <c r="CX32" s="250"/>
      <c r="CY32" s="250"/>
    </row>
    <row r="36" customFormat="1" customHeight="1" spans="1:103">
      <c r="A36" s="227">
        <v>46142</v>
      </c>
      <c r="B36" s="228" t="s">
        <v>128</v>
      </c>
      <c r="C36" s="228">
        <v>4</v>
      </c>
      <c r="D36" s="12"/>
      <c r="E36" s="12"/>
      <c r="F36" s="12"/>
      <c r="G36" s="12"/>
      <c r="H36" s="12"/>
      <c r="I36" s="12"/>
      <c r="J36" s="12"/>
      <c r="K36" s="12"/>
      <c r="L36" s="12"/>
      <c r="M36" s="12"/>
      <c r="N36" s="12"/>
      <c r="O36" s="12"/>
      <c r="P36" s="249"/>
      <c r="Q36" s="237"/>
      <c r="R36" s="237"/>
      <c r="S36" s="237"/>
      <c r="T36" s="237"/>
      <c r="U36" s="237"/>
      <c r="V36" s="237"/>
      <c r="W36" s="237"/>
      <c r="X36" s="237"/>
      <c r="Y36" s="237"/>
      <c r="Z36" s="237"/>
      <c r="AA36" s="237"/>
      <c r="AB36" s="237"/>
      <c r="AC36" s="237"/>
      <c r="AD36" s="237"/>
      <c r="AE36" s="237"/>
      <c r="AF36" s="237"/>
      <c r="AG36" s="237"/>
      <c r="AH36" s="237"/>
      <c r="AI36" s="237"/>
      <c r="AJ36" s="237"/>
      <c r="AK36" s="237"/>
      <c r="AL36" s="237"/>
      <c r="AM36" s="237"/>
      <c r="AN36" s="237"/>
      <c r="AO36" s="237"/>
      <c r="AP36" s="237"/>
      <c r="AQ36" s="250"/>
      <c r="AR36" s="250"/>
      <c r="AS36" s="250"/>
      <c r="AT36" s="250"/>
      <c r="AU36" s="250"/>
      <c r="AV36" s="250"/>
      <c r="AW36" s="250"/>
      <c r="AX36" s="250"/>
      <c r="AY36" s="250"/>
      <c r="AZ36" s="250"/>
      <c r="BA36" s="250"/>
      <c r="BB36" s="250"/>
      <c r="BC36" s="250"/>
      <c r="BD36" s="250"/>
      <c r="BE36" s="250"/>
      <c r="BF36" s="250"/>
      <c r="BG36" s="250"/>
      <c r="BH36" s="250"/>
      <c r="BI36" s="250"/>
      <c r="BJ36" s="250"/>
      <c r="BK36" s="250"/>
      <c r="BL36" s="250"/>
      <c r="BM36" s="250"/>
      <c r="BN36" s="250"/>
      <c r="BO36" s="250"/>
      <c r="BP36" s="250"/>
      <c r="BQ36" s="250"/>
      <c r="BR36" s="250"/>
      <c r="BS36" s="250"/>
      <c r="BT36" s="250"/>
      <c r="BU36" s="250"/>
      <c r="BV36" s="250"/>
      <c r="BW36" s="250"/>
      <c r="BX36" s="250"/>
      <c r="BY36" s="250"/>
      <c r="BZ36" s="250"/>
      <c r="CA36" s="250"/>
      <c r="CB36" s="250"/>
      <c r="CC36" s="250"/>
      <c r="CD36" s="250"/>
      <c r="CE36" s="250"/>
      <c r="CF36" s="250"/>
      <c r="CG36" s="250"/>
      <c r="CH36" s="250"/>
      <c r="CI36" s="250"/>
      <c r="CJ36" s="250"/>
      <c r="CK36" s="250"/>
      <c r="CL36" s="250"/>
      <c r="CM36" s="250"/>
      <c r="CN36" s="250"/>
      <c r="CO36" s="250"/>
      <c r="CP36" s="250"/>
      <c r="CQ36" s="250"/>
      <c r="CR36" s="250"/>
      <c r="CS36" s="250"/>
      <c r="CT36" s="250"/>
      <c r="CU36" s="250"/>
      <c r="CV36" s="250"/>
      <c r="CW36" s="250"/>
      <c r="CX36" s="250"/>
      <c r="CY36" s="250"/>
    </row>
    <row r="37" customFormat="1" customHeight="1" spans="1:103">
      <c r="A37" s="228"/>
      <c r="B37" s="228" t="s">
        <v>129</v>
      </c>
      <c r="C37" s="228">
        <v>0</v>
      </c>
      <c r="D37" s="12"/>
      <c r="E37" s="12"/>
      <c r="F37" s="12"/>
      <c r="G37" s="12"/>
      <c r="H37" s="12"/>
      <c r="I37" s="12"/>
      <c r="J37" s="12"/>
      <c r="K37" s="12"/>
      <c r="L37" s="12"/>
      <c r="M37" s="12"/>
      <c r="N37" s="12"/>
      <c r="O37" s="12"/>
      <c r="P37" s="249"/>
      <c r="Q37" s="237"/>
      <c r="R37" s="237"/>
      <c r="S37" s="237"/>
      <c r="T37" s="237"/>
      <c r="U37" s="237"/>
      <c r="V37" s="237"/>
      <c r="W37" s="237"/>
      <c r="X37" s="237"/>
      <c r="Y37" s="237"/>
      <c r="Z37" s="237"/>
      <c r="AA37" s="237"/>
      <c r="AB37" s="237"/>
      <c r="AC37" s="237"/>
      <c r="AD37" s="237"/>
      <c r="AE37" s="237"/>
      <c r="AF37" s="237"/>
      <c r="AG37" s="237"/>
      <c r="AH37" s="237"/>
      <c r="AI37" s="237"/>
      <c r="AJ37" s="237"/>
      <c r="AK37" s="237"/>
      <c r="AL37" s="237"/>
      <c r="AM37" s="237"/>
      <c r="AN37" s="237"/>
      <c r="AO37" s="237"/>
      <c r="AP37" s="237"/>
      <c r="AQ37" s="250"/>
      <c r="AR37" s="250"/>
      <c r="AS37" s="250"/>
      <c r="AT37" s="250"/>
      <c r="AU37" s="250"/>
      <c r="AV37" s="250"/>
      <c r="AW37" s="250"/>
      <c r="AX37" s="250"/>
      <c r="AY37" s="250"/>
      <c r="AZ37" s="250"/>
      <c r="BA37" s="250"/>
      <c r="BB37" s="250"/>
      <c r="BC37" s="250"/>
      <c r="BD37" s="250"/>
      <c r="BE37" s="250"/>
      <c r="BF37" s="250"/>
      <c r="BG37" s="250"/>
      <c r="BH37" s="250"/>
      <c r="BI37" s="250"/>
      <c r="BJ37" s="250"/>
      <c r="BK37" s="250"/>
      <c r="BL37" s="250"/>
      <c r="BM37" s="250"/>
      <c r="BN37" s="250"/>
      <c r="BO37" s="250"/>
      <c r="BP37" s="250"/>
      <c r="BQ37" s="250"/>
      <c r="BR37" s="250"/>
      <c r="BS37" s="250"/>
      <c r="BT37" s="250"/>
      <c r="BU37" s="250"/>
      <c r="BV37" s="250"/>
      <c r="BW37" s="250"/>
      <c r="BX37" s="250"/>
      <c r="BY37" s="250"/>
      <c r="BZ37" s="250"/>
      <c r="CA37" s="250"/>
      <c r="CB37" s="250"/>
      <c r="CC37" s="250"/>
      <c r="CD37" s="250"/>
      <c r="CE37" s="250"/>
      <c r="CF37" s="250"/>
      <c r="CG37" s="250"/>
      <c r="CH37" s="250"/>
      <c r="CI37" s="250"/>
      <c r="CJ37" s="250"/>
      <c r="CK37" s="250"/>
      <c r="CL37" s="250"/>
      <c r="CM37" s="250"/>
      <c r="CN37" s="250"/>
      <c r="CO37" s="250"/>
      <c r="CP37" s="250"/>
      <c r="CQ37" s="250"/>
      <c r="CR37" s="250"/>
      <c r="CS37" s="250"/>
      <c r="CT37" s="250"/>
      <c r="CU37" s="250"/>
      <c r="CV37" s="250"/>
      <c r="CW37" s="250"/>
      <c r="CX37" s="250"/>
      <c r="CY37" s="250"/>
    </row>
    <row r="39" s="98" customFormat="1" customHeight="1" spans="1:103">
      <c r="A39" s="232" t="s">
        <v>178</v>
      </c>
      <c r="B39" s="232"/>
      <c r="C39" s="232"/>
      <c r="D39" s="232"/>
      <c r="E39" s="232"/>
      <c r="F39" s="232"/>
      <c r="G39" s="232"/>
      <c r="H39" s="232"/>
      <c r="I39" s="232"/>
      <c r="J39" s="232"/>
      <c r="K39" s="232"/>
      <c r="L39" s="232"/>
      <c r="M39" s="232"/>
      <c r="N39" s="232"/>
      <c r="O39" s="232"/>
      <c r="P39" s="232"/>
      <c r="Q39" s="248"/>
      <c r="R39" s="248"/>
      <c r="S39" s="248"/>
      <c r="T39" s="248"/>
      <c r="U39" s="248"/>
      <c r="V39" s="248"/>
      <c r="W39" s="248"/>
      <c r="X39" s="248"/>
      <c r="Y39" s="248"/>
      <c r="Z39" s="248"/>
      <c r="AA39" s="248"/>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X39" s="248"/>
      <c r="AY39" s="248"/>
      <c r="AZ39" s="248"/>
      <c r="BA39" s="248"/>
      <c r="BB39" s="248"/>
      <c r="BC39" s="248"/>
      <c r="BD39" s="248"/>
      <c r="BE39" s="248"/>
      <c r="BF39" s="248"/>
      <c r="BG39" s="248"/>
      <c r="BH39" s="248"/>
      <c r="BI39" s="248"/>
      <c r="BJ39" s="248"/>
      <c r="BK39" s="248"/>
      <c r="BL39" s="248"/>
      <c r="BM39" s="248"/>
      <c r="BN39" s="248"/>
      <c r="BO39" s="248"/>
      <c r="BP39" s="248"/>
      <c r="BQ39" s="248"/>
      <c r="BR39" s="248"/>
      <c r="BS39" s="248"/>
      <c r="BT39" s="248"/>
      <c r="BU39" s="248"/>
      <c r="BV39" s="248"/>
      <c r="BW39" s="248"/>
      <c r="BX39" s="248"/>
      <c r="BY39" s="248"/>
      <c r="BZ39" s="248"/>
      <c r="CA39" s="248"/>
      <c r="CB39" s="248"/>
      <c r="CC39" s="248"/>
      <c r="CD39" s="248"/>
      <c r="CE39" s="248"/>
      <c r="CF39" s="248"/>
      <c r="CG39" s="248"/>
      <c r="CH39" s="248"/>
      <c r="CI39" s="248"/>
      <c r="CJ39" s="248"/>
      <c r="CK39" s="248"/>
      <c r="CL39" s="248"/>
      <c r="CM39" s="248"/>
      <c r="CN39" s="248"/>
      <c r="CO39" s="248"/>
      <c r="CP39" s="248"/>
      <c r="CQ39" s="248"/>
      <c r="CR39" s="248"/>
      <c r="CS39" s="248"/>
      <c r="CT39" s="248"/>
      <c r="CU39" s="248"/>
      <c r="CV39" s="248"/>
      <c r="CW39" s="248"/>
      <c r="CX39" s="248"/>
      <c r="CY39" s="248"/>
    </row>
    <row r="40" s="98" customFormat="1" customHeight="1" spans="1:103">
      <c r="A40" s="35" t="s">
        <v>16</v>
      </c>
      <c r="B40" s="35" t="s">
        <v>17</v>
      </c>
      <c r="C40" s="35" t="s">
        <v>18</v>
      </c>
      <c r="D40" s="35" t="s">
        <v>65</v>
      </c>
      <c r="E40" s="35" t="s">
        <v>46</v>
      </c>
      <c r="F40" s="35" t="s">
        <v>66</v>
      </c>
      <c r="G40" s="35" t="s">
        <v>67</v>
      </c>
      <c r="H40" s="35" t="s">
        <v>43</v>
      </c>
      <c r="I40" s="35" t="s">
        <v>68</v>
      </c>
      <c r="J40" s="35" t="s">
        <v>69</v>
      </c>
      <c r="K40" s="35" t="s">
        <v>70</v>
      </c>
      <c r="L40" s="35" t="s">
        <v>71</v>
      </c>
      <c r="M40" s="36" t="s">
        <v>72</v>
      </c>
      <c r="N40" s="36" t="s">
        <v>73</v>
      </c>
      <c r="O40" s="35" t="s">
        <v>74</v>
      </c>
      <c r="P40" s="35" t="s">
        <v>75</v>
      </c>
      <c r="Q40" s="248"/>
      <c r="R40" s="248"/>
      <c r="S40" s="248"/>
      <c r="T40" s="248"/>
      <c r="U40" s="248"/>
      <c r="V40" s="248"/>
      <c r="W40" s="248"/>
      <c r="X40" s="248"/>
      <c r="Y40" s="248"/>
      <c r="Z40" s="248"/>
      <c r="AA40" s="248"/>
      <c r="AB40" s="248"/>
      <c r="AC40" s="248"/>
      <c r="AD40" s="248"/>
      <c r="AE40" s="248"/>
      <c r="AF40" s="248"/>
      <c r="AG40" s="248"/>
      <c r="AH40" s="248"/>
      <c r="AI40" s="248"/>
      <c r="AJ40" s="248"/>
      <c r="AK40" s="248"/>
      <c r="AL40" s="248"/>
      <c r="AM40" s="248"/>
      <c r="AN40" s="248"/>
      <c r="AO40" s="248"/>
      <c r="AP40" s="248"/>
      <c r="AQ40" s="248"/>
      <c r="AR40" s="248"/>
      <c r="AS40" s="248"/>
      <c r="AT40" s="248"/>
      <c r="AU40" s="248"/>
      <c r="AV40" s="248"/>
      <c r="AW40" s="248"/>
      <c r="AX40" s="248"/>
      <c r="AY40" s="248"/>
      <c r="AZ40" s="248"/>
      <c r="BA40" s="248"/>
      <c r="BB40" s="248"/>
      <c r="BC40" s="248"/>
      <c r="BD40" s="248"/>
      <c r="BE40" s="248"/>
      <c r="BF40" s="248"/>
      <c r="BG40" s="248"/>
      <c r="BH40" s="248"/>
      <c r="BI40" s="248"/>
      <c r="BJ40" s="248"/>
      <c r="BK40" s="248"/>
      <c r="BL40" s="248"/>
      <c r="BM40" s="248"/>
      <c r="BN40" s="248"/>
      <c r="BO40" s="248"/>
      <c r="BP40" s="248"/>
      <c r="BQ40" s="248"/>
      <c r="BR40" s="248"/>
      <c r="BS40" s="248"/>
      <c r="BT40" s="248"/>
      <c r="BU40" s="248"/>
      <c r="BV40" s="248"/>
      <c r="BW40" s="248"/>
      <c r="BX40" s="248"/>
      <c r="BY40" s="248"/>
      <c r="BZ40" s="248"/>
      <c r="CA40" s="248"/>
      <c r="CB40" s="248"/>
      <c r="CC40" s="248"/>
      <c r="CD40" s="248"/>
      <c r="CE40" s="248"/>
      <c r="CF40" s="248"/>
      <c r="CG40" s="248"/>
      <c r="CH40" s="248"/>
      <c r="CI40" s="248"/>
      <c r="CJ40" s="248"/>
      <c r="CK40" s="248"/>
      <c r="CL40" s="248"/>
      <c r="CM40" s="248"/>
      <c r="CN40" s="248"/>
      <c r="CO40" s="248"/>
      <c r="CP40" s="248"/>
      <c r="CQ40" s="248"/>
      <c r="CR40" s="248"/>
      <c r="CS40" s="248"/>
      <c r="CT40" s="248"/>
      <c r="CU40" s="248"/>
      <c r="CV40" s="248"/>
      <c r="CW40" s="248"/>
      <c r="CX40" s="248"/>
      <c r="CY40" s="248"/>
    </row>
    <row r="41" s="98" customFormat="1" customHeight="1" spans="1:103">
      <c r="A41" s="260">
        <v>13</v>
      </c>
      <c r="B41" s="260" t="s">
        <v>25</v>
      </c>
      <c r="C41" s="260" t="s">
        <v>27</v>
      </c>
      <c r="D41" s="260">
        <v>7</v>
      </c>
      <c r="E41" s="260" t="s">
        <v>53</v>
      </c>
      <c r="F41" s="261">
        <v>85.67</v>
      </c>
      <c r="G41" s="262"/>
      <c r="H41" s="263">
        <v>45915</v>
      </c>
      <c r="I41" s="263"/>
      <c r="J41" s="263">
        <f>H41+90</f>
        <v>46005</v>
      </c>
      <c r="K41" s="263">
        <v>46113</v>
      </c>
      <c r="L41" s="263">
        <v>46142</v>
      </c>
      <c r="M41" s="264">
        <v>30</v>
      </c>
      <c r="N41" s="265">
        <v>17990.7</v>
      </c>
      <c r="O41" s="264">
        <f>L41-K41+1</f>
        <v>30</v>
      </c>
      <c r="P41" s="265">
        <f>O41*F41*D41</f>
        <v>17990.7</v>
      </c>
      <c r="Q41" s="248"/>
      <c r="R41" s="248"/>
      <c r="S41" s="248"/>
      <c r="T41" s="248"/>
      <c r="U41" s="248"/>
      <c r="V41" s="248"/>
      <c r="W41" s="248"/>
      <c r="X41" s="248"/>
      <c r="Y41" s="248"/>
      <c r="Z41" s="248"/>
      <c r="AA41" s="248"/>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248"/>
      <c r="AX41" s="248"/>
      <c r="AY41" s="248"/>
      <c r="AZ41" s="248"/>
      <c r="BA41" s="248"/>
      <c r="BB41" s="248"/>
      <c r="BC41" s="248"/>
      <c r="BD41" s="248"/>
      <c r="BE41" s="248"/>
      <c r="BF41" s="248"/>
      <c r="BG41" s="248"/>
      <c r="BH41" s="248"/>
      <c r="BI41" s="248"/>
      <c r="BJ41" s="248"/>
      <c r="BK41" s="248"/>
      <c r="BL41" s="248"/>
      <c r="BM41" s="248"/>
      <c r="BN41" s="248"/>
      <c r="BO41" s="248"/>
      <c r="BP41" s="248"/>
      <c r="BQ41" s="248"/>
      <c r="BR41" s="248"/>
      <c r="BS41" s="248"/>
      <c r="BT41" s="248"/>
      <c r="BU41" s="248"/>
      <c r="BV41" s="248"/>
      <c r="BW41" s="248"/>
      <c r="BX41" s="248"/>
      <c r="BY41" s="248"/>
      <c r="BZ41" s="248"/>
      <c r="CA41" s="248"/>
      <c r="CB41" s="248"/>
      <c r="CC41" s="248"/>
      <c r="CD41" s="248"/>
      <c r="CE41" s="248"/>
      <c r="CF41" s="248"/>
      <c r="CG41" s="248"/>
      <c r="CH41" s="248"/>
      <c r="CI41" s="248"/>
      <c r="CJ41" s="248"/>
      <c r="CK41" s="248"/>
      <c r="CL41" s="248"/>
      <c r="CM41" s="248"/>
      <c r="CN41" s="248"/>
      <c r="CO41" s="248"/>
      <c r="CP41" s="248"/>
      <c r="CQ41" s="248"/>
      <c r="CR41" s="248"/>
      <c r="CS41" s="248"/>
      <c r="CT41" s="248"/>
      <c r="CU41" s="248"/>
      <c r="CV41" s="248"/>
      <c r="CW41" s="248"/>
      <c r="CX41" s="248"/>
      <c r="CY41" s="248"/>
    </row>
    <row r="42" s="98" customFormat="1" customHeight="1" spans="1:103">
      <c r="A42" s="232" t="s">
        <v>179</v>
      </c>
      <c r="B42" s="232"/>
      <c r="C42" s="232"/>
      <c r="D42" s="232"/>
      <c r="E42" s="232"/>
      <c r="F42" s="232"/>
      <c r="G42" s="232"/>
      <c r="H42" s="232"/>
      <c r="I42" s="232"/>
      <c r="J42" s="232"/>
      <c r="K42" s="232"/>
      <c r="L42" s="232"/>
      <c r="M42" s="232"/>
      <c r="N42" s="232"/>
      <c r="O42" s="232"/>
      <c r="P42" s="232"/>
      <c r="Q42" s="266"/>
      <c r="R42" s="266"/>
      <c r="S42" s="266"/>
      <c r="T42" s="248"/>
      <c r="U42" s="248"/>
      <c r="V42" s="248"/>
      <c r="W42" s="248"/>
      <c r="X42" s="248"/>
      <c r="Y42" s="248"/>
      <c r="Z42" s="248"/>
      <c r="AA42" s="248"/>
      <c r="AB42" s="248"/>
      <c r="AC42" s="248"/>
      <c r="AD42" s="248"/>
      <c r="AE42" s="248"/>
      <c r="AF42" s="248"/>
      <c r="AG42" s="248"/>
      <c r="AH42" s="248"/>
      <c r="AI42" s="248"/>
      <c r="AJ42" s="248"/>
      <c r="AK42" s="248"/>
      <c r="AL42" s="248"/>
      <c r="AM42" s="248"/>
      <c r="AN42" s="248"/>
      <c r="AO42" s="248"/>
      <c r="AP42" s="248"/>
      <c r="AQ42" s="248"/>
      <c r="AR42" s="248"/>
      <c r="AS42" s="248"/>
      <c r="AT42" s="248"/>
      <c r="AU42" s="248"/>
      <c r="AV42" s="248"/>
      <c r="AW42" s="248"/>
      <c r="AX42" s="248"/>
      <c r="AY42" s="248"/>
      <c r="AZ42" s="248"/>
      <c r="BA42" s="248"/>
      <c r="BB42" s="248"/>
      <c r="BC42" s="248"/>
      <c r="BD42" s="248"/>
      <c r="BE42" s="248"/>
      <c r="BF42" s="248"/>
      <c r="BG42" s="248"/>
      <c r="BH42" s="248"/>
      <c r="BI42" s="248"/>
      <c r="BJ42" s="248"/>
      <c r="BK42" s="248"/>
      <c r="BL42" s="248"/>
      <c r="BM42" s="248"/>
      <c r="BN42" s="248"/>
      <c r="BO42" s="248"/>
      <c r="BP42" s="248"/>
      <c r="BQ42" s="248"/>
      <c r="BR42" s="248"/>
      <c r="BS42" s="248"/>
      <c r="BT42" s="248"/>
      <c r="BU42" s="248"/>
      <c r="BV42" s="248"/>
      <c r="BW42" s="248"/>
      <c r="BX42" s="248"/>
      <c r="BY42" s="248"/>
      <c r="BZ42" s="248"/>
      <c r="CA42" s="248"/>
      <c r="CB42" s="248"/>
      <c r="CC42" s="248"/>
      <c r="CD42" s="248"/>
      <c r="CE42" s="248"/>
      <c r="CF42" s="248"/>
      <c r="CG42" s="248"/>
      <c r="CH42" s="248"/>
      <c r="CI42" s="248"/>
      <c r="CJ42" s="248"/>
      <c r="CK42" s="248"/>
      <c r="CL42" s="248"/>
      <c r="CM42" s="248"/>
      <c r="CN42" s="248"/>
      <c r="CO42" s="248"/>
      <c r="CP42" s="248"/>
      <c r="CQ42" s="248"/>
      <c r="CR42" s="248"/>
      <c r="CS42" s="248"/>
      <c r="CT42" s="248"/>
      <c r="CU42" s="248"/>
      <c r="CV42" s="248"/>
      <c r="CW42" s="248"/>
      <c r="CX42" s="248"/>
      <c r="CY42" s="248"/>
    </row>
    <row r="43" s="98" customFormat="1" customHeight="1" spans="1:103">
      <c r="A43" s="35" t="s">
        <v>16</v>
      </c>
      <c r="B43" s="35" t="s">
        <v>17</v>
      </c>
      <c r="C43" s="35" t="s">
        <v>18</v>
      </c>
      <c r="D43" s="35" t="s">
        <v>65</v>
      </c>
      <c r="E43" s="35" t="s">
        <v>46</v>
      </c>
      <c r="F43" s="35" t="s">
        <v>66</v>
      </c>
      <c r="G43" s="35" t="s">
        <v>67</v>
      </c>
      <c r="H43" s="35" t="s">
        <v>43</v>
      </c>
      <c r="I43" s="35" t="s">
        <v>68</v>
      </c>
      <c r="J43" s="35" t="s">
        <v>69</v>
      </c>
      <c r="K43" s="35" t="s">
        <v>70</v>
      </c>
      <c r="L43" s="35" t="s">
        <v>71</v>
      </c>
      <c r="M43" s="36" t="s">
        <v>72</v>
      </c>
      <c r="N43" s="36" t="s">
        <v>73</v>
      </c>
      <c r="O43" s="35" t="s">
        <v>74</v>
      </c>
      <c r="P43" s="35" t="s">
        <v>75</v>
      </c>
      <c r="Q43" s="266"/>
      <c r="R43" s="266"/>
      <c r="S43" s="266"/>
      <c r="T43" s="248"/>
      <c r="U43" s="248"/>
      <c r="V43" s="248"/>
      <c r="W43" s="248"/>
      <c r="X43" s="248"/>
      <c r="Y43" s="248"/>
      <c r="Z43" s="248"/>
      <c r="AA43" s="248"/>
      <c r="AB43" s="248"/>
      <c r="AC43" s="248"/>
      <c r="AD43" s="248"/>
      <c r="AE43" s="248"/>
      <c r="AF43" s="248"/>
      <c r="AG43" s="248"/>
      <c r="AH43" s="248"/>
      <c r="AI43" s="248"/>
      <c r="AJ43" s="248"/>
      <c r="AK43" s="248"/>
      <c r="AL43" s="248"/>
      <c r="AM43" s="248"/>
      <c r="AN43" s="248"/>
      <c r="AO43" s="248"/>
      <c r="AP43" s="248"/>
      <c r="AQ43" s="248"/>
      <c r="AR43" s="248"/>
      <c r="AS43" s="248"/>
      <c r="AT43" s="248"/>
      <c r="AU43" s="248"/>
      <c r="AV43" s="248"/>
      <c r="AW43" s="248"/>
      <c r="AX43" s="248"/>
      <c r="AY43" s="248"/>
      <c r="AZ43" s="248"/>
      <c r="BA43" s="248"/>
      <c r="BB43" s="248"/>
      <c r="BC43" s="248"/>
      <c r="BD43" s="248"/>
      <c r="BE43" s="248"/>
      <c r="BF43" s="248"/>
      <c r="BG43" s="248"/>
      <c r="BH43" s="248"/>
      <c r="BI43" s="248"/>
      <c r="BJ43" s="248"/>
      <c r="BK43" s="248"/>
      <c r="BL43" s="248"/>
      <c r="BM43" s="248"/>
      <c r="BN43" s="248"/>
      <c r="BO43" s="248"/>
      <c r="BP43" s="248"/>
      <c r="BQ43" s="248"/>
      <c r="BR43" s="248"/>
      <c r="BS43" s="248"/>
      <c r="BT43" s="248"/>
      <c r="BU43" s="248"/>
      <c r="BV43" s="248"/>
      <c r="BW43" s="248"/>
      <c r="BX43" s="248"/>
      <c r="BY43" s="248"/>
      <c r="BZ43" s="248"/>
      <c r="CA43" s="248"/>
      <c r="CB43" s="248"/>
      <c r="CC43" s="248"/>
      <c r="CD43" s="248"/>
      <c r="CE43" s="248"/>
      <c r="CF43" s="248"/>
      <c r="CG43" s="248"/>
      <c r="CH43" s="248"/>
      <c r="CI43" s="248"/>
      <c r="CJ43" s="248"/>
      <c r="CK43" s="248"/>
      <c r="CL43" s="248"/>
      <c r="CM43" s="248"/>
      <c r="CN43" s="248"/>
      <c r="CO43" s="248"/>
      <c r="CP43" s="248"/>
      <c r="CQ43" s="248"/>
      <c r="CR43" s="248"/>
      <c r="CS43" s="248"/>
      <c r="CT43" s="248"/>
      <c r="CU43" s="248"/>
      <c r="CV43" s="248"/>
      <c r="CW43" s="248"/>
      <c r="CX43" s="248"/>
      <c r="CY43" s="248"/>
    </row>
    <row r="44" s="98" customFormat="1" customHeight="1" spans="1:103">
      <c r="A44" s="14">
        <v>50</v>
      </c>
      <c r="B44" s="14" t="s">
        <v>30</v>
      </c>
      <c r="C44" s="14" t="s">
        <v>31</v>
      </c>
      <c r="D44" s="14">
        <v>1</v>
      </c>
      <c r="E44" s="14" t="s">
        <v>53</v>
      </c>
      <c r="F44" s="63">
        <v>22.77</v>
      </c>
      <c r="G44" s="19"/>
      <c r="H44" s="64">
        <v>45915</v>
      </c>
      <c r="I44" s="158">
        <v>46126</v>
      </c>
      <c r="J44" s="267">
        <v>46113</v>
      </c>
      <c r="K44" s="64">
        <v>46113</v>
      </c>
      <c r="L44" s="64">
        <v>46125</v>
      </c>
      <c r="M44" s="268">
        <v>13</v>
      </c>
      <c r="N44" s="269">
        <f t="shared" ref="N44:N85" si="2">M44*F44*D44</f>
        <v>296.01</v>
      </c>
      <c r="O44" s="107">
        <f>L44-K44+1</f>
        <v>13</v>
      </c>
      <c r="P44" s="67">
        <f t="shared" ref="P44:P85" si="3">D44*F44*O44</f>
        <v>296.01</v>
      </c>
      <c r="Q44" s="105" t="s">
        <v>133</v>
      </c>
      <c r="R44" s="266"/>
      <c r="S44" s="266"/>
      <c r="T44" s="248"/>
      <c r="U44" s="248"/>
      <c r="V44" s="248"/>
      <c r="W44" s="248"/>
      <c r="X44" s="248"/>
      <c r="Y44" s="248"/>
      <c r="Z44" s="248"/>
      <c r="AA44" s="248"/>
      <c r="AB44" s="248"/>
      <c r="AC44" s="248"/>
      <c r="AD44" s="248"/>
      <c r="AE44" s="248"/>
      <c r="AF44" s="248"/>
      <c r="AG44" s="248"/>
      <c r="AH44" s="248"/>
      <c r="AI44" s="248"/>
      <c r="AJ44" s="248"/>
      <c r="AK44" s="248"/>
      <c r="AL44" s="248"/>
      <c r="AM44" s="248"/>
      <c r="AN44" s="248"/>
      <c r="AO44" s="248"/>
      <c r="AP44" s="248"/>
      <c r="AQ44" s="248"/>
      <c r="AR44" s="248"/>
      <c r="AS44" s="248"/>
      <c r="AT44" s="248"/>
      <c r="AU44" s="248"/>
      <c r="AV44" s="248"/>
      <c r="AW44" s="248"/>
      <c r="AX44" s="248"/>
      <c r="AY44" s="248"/>
      <c r="AZ44" s="248"/>
      <c r="BA44" s="248"/>
      <c r="BB44" s="248"/>
      <c r="BC44" s="248"/>
      <c r="BD44" s="248"/>
      <c r="BE44" s="248"/>
      <c r="BF44" s="248"/>
      <c r="BG44" s="248"/>
      <c r="BH44" s="248"/>
      <c r="BI44" s="248"/>
      <c r="BJ44" s="248"/>
      <c r="BK44" s="248"/>
      <c r="BL44" s="248"/>
      <c r="BM44" s="248"/>
      <c r="BN44" s="248"/>
      <c r="BO44" s="248"/>
      <c r="BP44" s="248"/>
      <c r="BQ44" s="248"/>
      <c r="BR44" s="248"/>
      <c r="BS44" s="248"/>
      <c r="BT44" s="248"/>
      <c r="BU44" s="248"/>
      <c r="BV44" s="248"/>
      <c r="BW44" s="248"/>
      <c r="BX44" s="248"/>
      <c r="BY44" s="248"/>
      <c r="BZ44" s="248"/>
      <c r="CA44" s="248"/>
      <c r="CB44" s="248"/>
      <c r="CC44" s="248"/>
      <c r="CD44" s="248"/>
      <c r="CE44" s="248"/>
      <c r="CF44" s="248"/>
      <c r="CG44" s="248"/>
      <c r="CH44" s="248"/>
      <c r="CI44" s="248"/>
      <c r="CJ44" s="248"/>
      <c r="CK44" s="248"/>
      <c r="CL44" s="248"/>
      <c r="CM44" s="248"/>
      <c r="CN44" s="248"/>
      <c r="CO44" s="248"/>
      <c r="CP44" s="248"/>
      <c r="CQ44" s="248"/>
      <c r="CR44" s="248"/>
      <c r="CS44" s="248"/>
      <c r="CT44" s="248"/>
      <c r="CU44" s="248"/>
      <c r="CV44" s="248"/>
      <c r="CW44" s="248"/>
      <c r="CX44" s="248"/>
      <c r="CY44" s="248"/>
    </row>
    <row r="45" s="98" customFormat="1" customHeight="1" spans="1:103">
      <c r="O45" s="101"/>
      <c r="P45" s="266"/>
      <c r="Q45" s="266"/>
      <c r="R45" s="266"/>
      <c r="S45" s="266"/>
      <c r="T45" s="248"/>
      <c r="U45" s="248"/>
      <c r="V45" s="248"/>
      <c r="W45" s="248"/>
      <c r="X45" s="248"/>
      <c r="Y45" s="248"/>
      <c r="Z45" s="248"/>
      <c r="AA45" s="248"/>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8"/>
      <c r="AX45" s="248"/>
      <c r="AY45" s="248"/>
      <c r="AZ45" s="248"/>
      <c r="BA45" s="248"/>
      <c r="BB45" s="248"/>
      <c r="BC45" s="248"/>
      <c r="BD45" s="248"/>
      <c r="BE45" s="248"/>
      <c r="BF45" s="248"/>
      <c r="BG45" s="248"/>
      <c r="BH45" s="248"/>
      <c r="BI45" s="248"/>
      <c r="BJ45" s="248"/>
      <c r="BK45" s="248"/>
      <c r="BL45" s="248"/>
      <c r="BM45" s="248"/>
      <c r="BN45" s="248"/>
      <c r="BO45" s="248"/>
      <c r="BP45" s="248"/>
      <c r="BQ45" s="248"/>
      <c r="BR45" s="248"/>
      <c r="BS45" s="248"/>
      <c r="BT45" s="248"/>
      <c r="BU45" s="248"/>
      <c r="BV45" s="248"/>
      <c r="BW45" s="248"/>
      <c r="BX45" s="248"/>
      <c r="BY45" s="248"/>
      <c r="BZ45" s="248"/>
      <c r="CA45" s="248"/>
      <c r="CB45" s="248"/>
      <c r="CC45" s="248"/>
      <c r="CD45" s="248"/>
      <c r="CE45" s="248"/>
      <c r="CF45" s="248"/>
      <c r="CG45" s="248"/>
      <c r="CH45" s="248"/>
      <c r="CI45" s="248"/>
      <c r="CJ45" s="248"/>
      <c r="CK45" s="248"/>
      <c r="CL45" s="248"/>
      <c r="CM45" s="248"/>
      <c r="CN45" s="248"/>
      <c r="CO45" s="248"/>
      <c r="CP45" s="248"/>
      <c r="CQ45" s="248"/>
      <c r="CR45" s="248"/>
      <c r="CS45" s="248"/>
      <c r="CT45" s="248"/>
      <c r="CU45" s="248"/>
      <c r="CV45" s="248"/>
      <c r="CW45" s="248"/>
      <c r="CX45" s="248"/>
      <c r="CY45" s="248"/>
    </row>
    <row r="46" s="98" customFormat="1" customHeight="1" spans="1:103">
      <c r="A46" s="232" t="s">
        <v>180</v>
      </c>
      <c r="B46" s="232"/>
      <c r="C46" s="232"/>
      <c r="D46" s="232"/>
      <c r="E46" s="232"/>
      <c r="F46" s="232"/>
      <c r="G46" s="232"/>
      <c r="H46" s="232"/>
      <c r="I46" s="232"/>
      <c r="J46" s="232"/>
      <c r="K46" s="232"/>
      <c r="L46" s="232"/>
      <c r="M46" s="232"/>
      <c r="N46" s="232"/>
      <c r="O46" s="232"/>
      <c r="P46" s="232"/>
      <c r="Q46" s="243"/>
      <c r="R46" s="266"/>
      <c r="S46" s="266"/>
      <c r="T46" s="248"/>
      <c r="U46" s="248"/>
      <c r="V46" s="248"/>
      <c r="W46" s="248"/>
      <c r="X46" s="248"/>
      <c r="Y46" s="248"/>
      <c r="Z46" s="248"/>
      <c r="AA46" s="248"/>
      <c r="AB46" s="248"/>
      <c r="AC46" s="248"/>
      <c r="AD46" s="248"/>
      <c r="AE46" s="248"/>
      <c r="AF46" s="248"/>
      <c r="AG46" s="248"/>
      <c r="AH46" s="248"/>
      <c r="AI46" s="248"/>
      <c r="AJ46" s="248"/>
      <c r="AK46" s="248"/>
      <c r="AL46" s="248"/>
      <c r="AM46" s="248"/>
      <c r="AN46" s="248"/>
      <c r="AO46" s="248"/>
      <c r="AP46" s="248"/>
      <c r="AQ46" s="248"/>
      <c r="AR46" s="248"/>
      <c r="AS46" s="248"/>
      <c r="AT46" s="248"/>
      <c r="AU46" s="248"/>
      <c r="AV46" s="248"/>
      <c r="AW46" s="248"/>
      <c r="AX46" s="248"/>
      <c r="AY46" s="248"/>
      <c r="AZ46" s="248"/>
      <c r="BA46" s="248"/>
      <c r="BB46" s="248"/>
      <c r="BC46" s="248"/>
      <c r="BD46" s="248"/>
      <c r="BE46" s="248"/>
      <c r="BF46" s="248"/>
      <c r="BG46" s="248"/>
      <c r="BH46" s="248"/>
      <c r="BI46" s="248"/>
      <c r="BJ46" s="248"/>
      <c r="BK46" s="248"/>
      <c r="BL46" s="248"/>
      <c r="BM46" s="248"/>
      <c r="BN46" s="248"/>
      <c r="BO46" s="248"/>
      <c r="BP46" s="248"/>
      <c r="BQ46" s="248"/>
      <c r="BR46" s="248"/>
      <c r="BS46" s="248"/>
      <c r="BT46" s="248"/>
      <c r="BU46" s="248"/>
      <c r="BV46" s="248"/>
      <c r="BW46" s="248"/>
      <c r="BX46" s="248"/>
      <c r="BY46" s="248"/>
      <c r="BZ46" s="248"/>
      <c r="CA46" s="248"/>
      <c r="CB46" s="248"/>
      <c r="CC46" s="248"/>
      <c r="CD46" s="248"/>
      <c r="CE46" s="248"/>
      <c r="CF46" s="248"/>
      <c r="CG46" s="248"/>
      <c r="CH46" s="248"/>
      <c r="CI46" s="248"/>
      <c r="CJ46" s="248"/>
      <c r="CK46" s="248"/>
      <c r="CL46" s="248"/>
      <c r="CM46" s="248"/>
      <c r="CN46" s="248"/>
      <c r="CO46" s="248"/>
      <c r="CP46" s="248"/>
      <c r="CQ46" s="248"/>
      <c r="CR46" s="248"/>
      <c r="CS46" s="248"/>
      <c r="CT46" s="248"/>
      <c r="CU46" s="248"/>
      <c r="CV46" s="248"/>
      <c r="CW46" s="248"/>
      <c r="CX46" s="248"/>
      <c r="CY46" s="248"/>
    </row>
    <row r="47" s="98" customFormat="1" customHeight="1" spans="1:103">
      <c r="A47" s="25" t="s">
        <v>16</v>
      </c>
      <c r="B47" s="25" t="s">
        <v>17</v>
      </c>
      <c r="C47" s="25" t="s">
        <v>18</v>
      </c>
      <c r="D47" s="25" t="s">
        <v>65</v>
      </c>
      <c r="E47" s="25" t="s">
        <v>46</v>
      </c>
      <c r="F47" s="25" t="s">
        <v>66</v>
      </c>
      <c r="G47" s="25" t="s">
        <v>67</v>
      </c>
      <c r="H47" s="25" t="s">
        <v>43</v>
      </c>
      <c r="I47" s="25" t="s">
        <v>68</v>
      </c>
      <c r="J47" s="25" t="s">
        <v>69</v>
      </c>
      <c r="K47" s="25" t="s">
        <v>70</v>
      </c>
      <c r="L47" s="25" t="s">
        <v>71</v>
      </c>
      <c r="M47" s="26" t="s">
        <v>72</v>
      </c>
      <c r="N47" s="26" t="s">
        <v>73</v>
      </c>
      <c r="O47" s="25" t="s">
        <v>74</v>
      </c>
      <c r="P47" s="270" t="s">
        <v>75</v>
      </c>
      <c r="Q47" s="243"/>
      <c r="R47" s="266"/>
      <c r="S47" s="266"/>
      <c r="T47" s="266"/>
      <c r="U47" s="266"/>
      <c r="V47" s="266"/>
      <c r="W47" s="266"/>
      <c r="X47" s="248"/>
      <c r="Y47" s="248"/>
      <c r="Z47" s="248"/>
      <c r="AA47" s="248"/>
      <c r="AB47" s="248"/>
      <c r="AC47" s="248"/>
      <c r="AD47" s="248"/>
      <c r="AE47" s="248"/>
      <c r="AF47" s="248"/>
      <c r="AG47" s="248"/>
      <c r="AH47" s="248"/>
      <c r="AI47" s="248"/>
      <c r="AJ47" s="248"/>
      <c r="AK47" s="248"/>
      <c r="AL47" s="248"/>
      <c r="AM47" s="248"/>
      <c r="AN47" s="248"/>
      <c r="AO47" s="248"/>
      <c r="AP47" s="248"/>
      <c r="AQ47" s="248"/>
      <c r="AR47" s="248"/>
      <c r="AS47" s="248"/>
      <c r="AT47" s="248"/>
      <c r="AU47" s="248"/>
      <c r="AV47" s="248"/>
      <c r="AW47" s="248"/>
      <c r="AX47" s="248"/>
      <c r="AY47" s="248"/>
      <c r="AZ47" s="248"/>
      <c r="BA47" s="248"/>
      <c r="BB47" s="248"/>
      <c r="BC47" s="248"/>
      <c r="BD47" s="248"/>
      <c r="BE47" s="248"/>
      <c r="BF47" s="248"/>
      <c r="BG47" s="248"/>
      <c r="BH47" s="248"/>
      <c r="BI47" s="248"/>
      <c r="BJ47" s="248"/>
      <c r="BK47" s="248"/>
      <c r="BL47" s="248"/>
      <c r="BM47" s="248"/>
      <c r="BN47" s="248"/>
      <c r="BO47" s="248"/>
      <c r="BP47" s="248"/>
      <c r="BQ47" s="248"/>
      <c r="BR47" s="248"/>
      <c r="BS47" s="248"/>
      <c r="BT47" s="248"/>
      <c r="BU47" s="248"/>
      <c r="BV47" s="248"/>
      <c r="BW47" s="248"/>
      <c r="BX47" s="248"/>
      <c r="BY47" s="248"/>
      <c r="BZ47" s="248"/>
      <c r="CA47" s="248"/>
      <c r="CB47" s="248"/>
      <c r="CC47" s="248"/>
      <c r="CD47" s="248"/>
      <c r="CE47" s="248"/>
      <c r="CF47" s="248"/>
      <c r="CG47" s="248"/>
      <c r="CH47" s="248"/>
      <c r="CI47" s="248"/>
      <c r="CJ47" s="248"/>
      <c r="CK47" s="248"/>
      <c r="CL47" s="248"/>
      <c r="CM47" s="248"/>
      <c r="CN47" s="248"/>
      <c r="CO47" s="248"/>
      <c r="CP47" s="248"/>
      <c r="CQ47" s="248"/>
      <c r="CR47" s="248"/>
      <c r="CS47" s="248"/>
      <c r="CT47" s="248"/>
      <c r="CU47" s="248"/>
      <c r="CV47" s="248"/>
      <c r="CW47" s="248"/>
      <c r="CX47" s="248"/>
      <c r="CY47" s="248"/>
    </row>
    <row r="48" s="248" customFormat="1" customHeight="1" spans="1:103">
      <c r="A48" s="72">
        <v>26</v>
      </c>
      <c r="B48" s="72" t="s">
        <v>21</v>
      </c>
      <c r="C48" s="72" t="s">
        <v>22</v>
      </c>
      <c r="D48" s="73">
        <v>1</v>
      </c>
      <c r="E48" s="72" t="s">
        <v>53</v>
      </c>
      <c r="F48" s="74">
        <v>5.53</v>
      </c>
      <c r="G48" s="75" t="s">
        <v>176</v>
      </c>
      <c r="H48" s="66">
        <v>45915</v>
      </c>
      <c r="I48" s="271">
        <v>46134</v>
      </c>
      <c r="J48" s="66">
        <f t="shared" ref="J48:J85" si="4">H48+90</f>
        <v>46005</v>
      </c>
      <c r="K48" s="66">
        <v>46113</v>
      </c>
      <c r="L48" s="66">
        <v>46134</v>
      </c>
      <c r="M48" s="272">
        <v>21</v>
      </c>
      <c r="N48" s="273">
        <f t="shared" si="2"/>
        <v>116.13</v>
      </c>
      <c r="O48" s="78">
        <f t="shared" ref="O48:O55" si="5">L48-K48</f>
        <v>21</v>
      </c>
      <c r="P48" s="79">
        <f t="shared" si="3"/>
        <v>116.13</v>
      </c>
      <c r="Q48" s="274" t="s">
        <v>133</v>
      </c>
      <c r="R48" s="266"/>
      <c r="S48" s="266"/>
      <c r="T48" s="266"/>
      <c r="U48" s="266"/>
      <c r="V48" s="266"/>
      <c r="W48" s="266"/>
    </row>
    <row r="49" s="248" customFormat="1" customHeight="1" spans="1:103">
      <c r="A49" s="72">
        <v>26</v>
      </c>
      <c r="B49" s="72" t="s">
        <v>21</v>
      </c>
      <c r="C49" s="72" t="s">
        <v>22</v>
      </c>
      <c r="D49" s="73">
        <v>1</v>
      </c>
      <c r="E49" s="72" t="s">
        <v>53</v>
      </c>
      <c r="F49" s="74">
        <v>5.53</v>
      </c>
      <c r="G49" s="75" t="s">
        <v>177</v>
      </c>
      <c r="H49" s="66">
        <v>45915</v>
      </c>
      <c r="I49" s="271">
        <v>46134</v>
      </c>
      <c r="J49" s="66">
        <f t="shared" si="4"/>
        <v>46005</v>
      </c>
      <c r="K49" s="66">
        <v>46113</v>
      </c>
      <c r="L49" s="66">
        <v>46134</v>
      </c>
      <c r="M49" s="272">
        <v>21</v>
      </c>
      <c r="N49" s="273">
        <f t="shared" si="2"/>
        <v>116.13</v>
      </c>
      <c r="O49" s="78">
        <f t="shared" si="5"/>
        <v>21</v>
      </c>
      <c r="P49" s="79">
        <f t="shared" si="3"/>
        <v>116.13</v>
      </c>
      <c r="Q49" s="274"/>
      <c r="R49" s="266"/>
      <c r="S49" s="266"/>
      <c r="T49" s="266"/>
      <c r="U49" s="266"/>
      <c r="V49" s="266"/>
      <c r="W49" s="266"/>
    </row>
    <row r="50" s="248" customFormat="1" customHeight="1" spans="1:103">
      <c r="A50" s="72">
        <v>26</v>
      </c>
      <c r="B50" s="72" t="s">
        <v>21</v>
      </c>
      <c r="C50" s="72" t="s">
        <v>22</v>
      </c>
      <c r="D50" s="73">
        <v>1</v>
      </c>
      <c r="E50" s="72" t="s">
        <v>53</v>
      </c>
      <c r="F50" s="74">
        <v>5.53</v>
      </c>
      <c r="G50" s="75" t="s">
        <v>174</v>
      </c>
      <c r="H50" s="66">
        <v>45915</v>
      </c>
      <c r="I50" s="271">
        <v>46134</v>
      </c>
      <c r="J50" s="66">
        <f t="shared" si="4"/>
        <v>46005</v>
      </c>
      <c r="K50" s="66">
        <v>46113</v>
      </c>
      <c r="L50" s="66">
        <v>46134</v>
      </c>
      <c r="M50" s="272">
        <v>21</v>
      </c>
      <c r="N50" s="273">
        <f t="shared" si="2"/>
        <v>116.13</v>
      </c>
      <c r="O50" s="78">
        <f t="shared" si="5"/>
        <v>21</v>
      </c>
      <c r="P50" s="79">
        <f t="shared" si="3"/>
        <v>116.13</v>
      </c>
      <c r="Q50" s="274"/>
      <c r="R50" s="266"/>
      <c r="S50" s="266"/>
      <c r="T50" s="266"/>
      <c r="U50" s="266"/>
      <c r="V50" s="266"/>
      <c r="W50" s="266"/>
    </row>
    <row r="51" s="248" customFormat="1" customHeight="1" spans="1:103">
      <c r="A51" s="72">
        <v>26</v>
      </c>
      <c r="B51" s="72" t="s">
        <v>21</v>
      </c>
      <c r="C51" s="72" t="s">
        <v>22</v>
      </c>
      <c r="D51" s="73">
        <v>1</v>
      </c>
      <c r="E51" s="72" t="s">
        <v>53</v>
      </c>
      <c r="F51" s="74">
        <v>5.53</v>
      </c>
      <c r="G51" s="75" t="s">
        <v>175</v>
      </c>
      <c r="H51" s="66">
        <v>45915</v>
      </c>
      <c r="I51" s="271">
        <v>46134</v>
      </c>
      <c r="J51" s="66">
        <f t="shared" si="4"/>
        <v>46005</v>
      </c>
      <c r="K51" s="66">
        <v>46113</v>
      </c>
      <c r="L51" s="66">
        <v>46134</v>
      </c>
      <c r="M51" s="272">
        <v>21</v>
      </c>
      <c r="N51" s="273">
        <f t="shared" si="2"/>
        <v>116.13</v>
      </c>
      <c r="O51" s="78">
        <f t="shared" si="5"/>
        <v>21</v>
      </c>
      <c r="P51" s="79">
        <f t="shared" si="3"/>
        <v>116.13</v>
      </c>
      <c r="Q51" s="274"/>
      <c r="R51" s="266"/>
      <c r="S51" s="266"/>
      <c r="T51" s="266"/>
      <c r="U51" s="266"/>
      <c r="V51" s="266"/>
      <c r="W51" s="266"/>
    </row>
    <row r="52" s="248" customFormat="1" customHeight="1" spans="1:103">
      <c r="A52" s="72">
        <v>26</v>
      </c>
      <c r="B52" s="72" t="s">
        <v>21</v>
      </c>
      <c r="C52" s="72" t="s">
        <v>22</v>
      </c>
      <c r="D52" s="73">
        <v>1</v>
      </c>
      <c r="E52" s="72" t="s">
        <v>53</v>
      </c>
      <c r="F52" s="74">
        <v>5.53</v>
      </c>
      <c r="G52" s="75" t="s">
        <v>172</v>
      </c>
      <c r="H52" s="66">
        <v>45915</v>
      </c>
      <c r="I52" s="271">
        <v>46134</v>
      </c>
      <c r="J52" s="66">
        <f t="shared" si="4"/>
        <v>46005</v>
      </c>
      <c r="K52" s="66">
        <v>46113</v>
      </c>
      <c r="L52" s="66">
        <v>46134</v>
      </c>
      <c r="M52" s="272">
        <v>21</v>
      </c>
      <c r="N52" s="273">
        <f t="shared" si="2"/>
        <v>116.13</v>
      </c>
      <c r="O52" s="78">
        <f t="shared" si="5"/>
        <v>21</v>
      </c>
      <c r="P52" s="79">
        <f t="shared" si="3"/>
        <v>116.13</v>
      </c>
      <c r="Q52" s="274"/>
      <c r="R52" s="266"/>
      <c r="S52" s="266"/>
      <c r="T52" s="266"/>
      <c r="U52" s="266"/>
      <c r="V52" s="266"/>
      <c r="W52" s="266"/>
    </row>
    <row r="53" s="248" customFormat="1" customHeight="1" spans="1:103">
      <c r="A53" s="72">
        <v>26</v>
      </c>
      <c r="B53" s="72" t="s">
        <v>21</v>
      </c>
      <c r="C53" s="72" t="s">
        <v>22</v>
      </c>
      <c r="D53" s="73">
        <v>1</v>
      </c>
      <c r="E53" s="72" t="s">
        <v>53</v>
      </c>
      <c r="F53" s="74">
        <v>5.53</v>
      </c>
      <c r="G53" s="75" t="s">
        <v>173</v>
      </c>
      <c r="H53" s="66">
        <v>45915</v>
      </c>
      <c r="I53" s="271">
        <v>46134</v>
      </c>
      <c r="J53" s="66">
        <f t="shared" si="4"/>
        <v>46005</v>
      </c>
      <c r="K53" s="66">
        <v>46113</v>
      </c>
      <c r="L53" s="66">
        <v>46134</v>
      </c>
      <c r="M53" s="272">
        <v>21</v>
      </c>
      <c r="N53" s="273">
        <f t="shared" si="2"/>
        <v>116.13</v>
      </c>
      <c r="O53" s="78">
        <f t="shared" si="5"/>
        <v>21</v>
      </c>
      <c r="P53" s="79">
        <f t="shared" si="3"/>
        <v>116.13</v>
      </c>
      <c r="Q53" s="274"/>
      <c r="R53" s="266"/>
      <c r="S53" s="266"/>
      <c r="T53" s="266"/>
      <c r="U53" s="266"/>
      <c r="V53" s="266"/>
      <c r="W53" s="266"/>
    </row>
    <row r="54" s="248" customFormat="1" customHeight="1" spans="1:103">
      <c r="A54" s="72">
        <v>26</v>
      </c>
      <c r="B54" s="72" t="s">
        <v>21</v>
      </c>
      <c r="C54" s="72" t="s">
        <v>22</v>
      </c>
      <c r="D54" s="73">
        <v>1</v>
      </c>
      <c r="E54" s="72" t="s">
        <v>53</v>
      </c>
      <c r="F54" s="74">
        <v>5.53</v>
      </c>
      <c r="G54" s="75" t="s">
        <v>170</v>
      </c>
      <c r="H54" s="66">
        <v>45915</v>
      </c>
      <c r="I54" s="271">
        <v>46134</v>
      </c>
      <c r="J54" s="66">
        <f t="shared" si="4"/>
        <v>46005</v>
      </c>
      <c r="K54" s="66">
        <v>46113</v>
      </c>
      <c r="L54" s="66">
        <v>46134</v>
      </c>
      <c r="M54" s="272">
        <v>21</v>
      </c>
      <c r="N54" s="273">
        <f t="shared" si="2"/>
        <v>116.13</v>
      </c>
      <c r="O54" s="78">
        <f t="shared" si="5"/>
        <v>21</v>
      </c>
      <c r="P54" s="79">
        <f t="shared" si="3"/>
        <v>116.13</v>
      </c>
      <c r="Q54" s="274"/>
      <c r="R54" s="266"/>
      <c r="S54" s="266"/>
      <c r="T54" s="266"/>
      <c r="U54" s="266"/>
      <c r="V54" s="266"/>
      <c r="W54" s="266"/>
    </row>
    <row r="55" s="248" customFormat="1" customHeight="1" spans="1:103">
      <c r="A55" s="72">
        <v>26</v>
      </c>
      <c r="B55" s="72" t="s">
        <v>21</v>
      </c>
      <c r="C55" s="72" t="s">
        <v>22</v>
      </c>
      <c r="D55" s="73">
        <v>1</v>
      </c>
      <c r="E55" s="72" t="s">
        <v>53</v>
      </c>
      <c r="F55" s="74">
        <v>5.53</v>
      </c>
      <c r="G55" s="75" t="s">
        <v>171</v>
      </c>
      <c r="H55" s="66">
        <v>45915</v>
      </c>
      <c r="I55" s="271">
        <v>46134</v>
      </c>
      <c r="J55" s="66">
        <f t="shared" si="4"/>
        <v>46005</v>
      </c>
      <c r="K55" s="66">
        <v>46113</v>
      </c>
      <c r="L55" s="66">
        <v>46134</v>
      </c>
      <c r="M55" s="272">
        <v>21</v>
      </c>
      <c r="N55" s="273">
        <f t="shared" si="2"/>
        <v>116.13</v>
      </c>
      <c r="O55" s="78">
        <f t="shared" si="5"/>
        <v>21</v>
      </c>
      <c r="P55" s="79">
        <f t="shared" si="3"/>
        <v>116.13</v>
      </c>
      <c r="Q55" s="274"/>
      <c r="R55" s="266"/>
      <c r="S55" s="266"/>
      <c r="T55" s="266"/>
      <c r="U55" s="266"/>
      <c r="V55" s="266"/>
      <c r="W55" s="266"/>
    </row>
    <row r="56" s="98" customFormat="1" customHeight="1" spans="1:103">
      <c r="A56" s="27">
        <v>26</v>
      </c>
      <c r="B56" s="27" t="s">
        <v>21</v>
      </c>
      <c r="C56" s="27" t="s">
        <v>22</v>
      </c>
      <c r="D56" s="29">
        <v>1</v>
      </c>
      <c r="E56" s="27" t="s">
        <v>53</v>
      </c>
      <c r="F56" s="28">
        <v>5.53</v>
      </c>
      <c r="G56" s="37" t="s">
        <v>168</v>
      </c>
      <c r="H56" s="30">
        <v>45915</v>
      </c>
      <c r="I56" s="30"/>
      <c r="J56" s="275">
        <f t="shared" si="4"/>
        <v>46005</v>
      </c>
      <c r="K56" s="30">
        <v>46113</v>
      </c>
      <c r="L56" s="30">
        <v>46142</v>
      </c>
      <c r="M56" s="272">
        <v>30</v>
      </c>
      <c r="N56" s="273">
        <f t="shared" si="2"/>
        <v>165.9</v>
      </c>
      <c r="O56" s="276">
        <f t="shared" ref="O56:O65" si="6">L56-K56+1</f>
        <v>30</v>
      </c>
      <c r="P56" s="33">
        <f t="shared" si="3"/>
        <v>165.9</v>
      </c>
      <c r="Q56" s="235"/>
      <c r="R56" s="266"/>
      <c r="S56" s="266"/>
      <c r="T56" s="266"/>
      <c r="U56" s="266"/>
      <c r="V56" s="266"/>
      <c r="W56" s="266"/>
      <c r="X56" s="248"/>
      <c r="Y56" s="248"/>
      <c r="Z56" s="248"/>
      <c r="AA56" s="248"/>
      <c r="AB56" s="248"/>
      <c r="AC56" s="248"/>
      <c r="AD56" s="248"/>
      <c r="AE56" s="248"/>
      <c r="AF56" s="248"/>
      <c r="AG56" s="248"/>
      <c r="AH56" s="248"/>
      <c r="AI56" s="248"/>
      <c r="AJ56" s="248"/>
      <c r="AK56" s="248"/>
      <c r="AL56" s="248"/>
      <c r="AM56" s="248"/>
      <c r="AN56" s="248"/>
      <c r="AO56" s="248"/>
      <c r="AP56" s="248"/>
      <c r="AQ56" s="248"/>
      <c r="AR56" s="248"/>
      <c r="AS56" s="248"/>
      <c r="AT56" s="248"/>
      <c r="AU56" s="248"/>
      <c r="AV56" s="248"/>
      <c r="AW56" s="248"/>
      <c r="AX56" s="248"/>
      <c r="AY56" s="248"/>
      <c r="AZ56" s="248"/>
      <c r="BA56" s="248"/>
      <c r="BB56" s="248"/>
      <c r="BC56" s="248"/>
      <c r="BD56" s="248"/>
      <c r="BE56" s="248"/>
      <c r="BF56" s="248"/>
      <c r="BG56" s="248"/>
      <c r="BH56" s="248"/>
      <c r="BI56" s="248"/>
      <c r="BJ56" s="248"/>
      <c r="BK56" s="248"/>
      <c r="BL56" s="248"/>
      <c r="BM56" s="248"/>
      <c r="BN56" s="248"/>
      <c r="BO56" s="248"/>
      <c r="BP56" s="248"/>
      <c r="BQ56" s="248"/>
      <c r="BR56" s="248"/>
      <c r="BS56" s="248"/>
      <c r="BT56" s="248"/>
      <c r="BU56" s="248"/>
      <c r="BV56" s="248"/>
      <c r="BW56" s="248"/>
      <c r="BX56" s="248"/>
      <c r="BY56" s="248"/>
      <c r="BZ56" s="248"/>
      <c r="CA56" s="248"/>
      <c r="CB56" s="248"/>
      <c r="CC56" s="248"/>
      <c r="CD56" s="248"/>
      <c r="CE56" s="248"/>
      <c r="CF56" s="248"/>
      <c r="CG56" s="248"/>
      <c r="CH56" s="248"/>
      <c r="CI56" s="248"/>
      <c r="CJ56" s="248"/>
      <c r="CK56" s="248"/>
      <c r="CL56" s="248"/>
      <c r="CM56" s="248"/>
      <c r="CN56" s="248"/>
      <c r="CO56" s="248"/>
      <c r="CP56" s="248"/>
      <c r="CQ56" s="248"/>
      <c r="CR56" s="248"/>
      <c r="CS56" s="248"/>
      <c r="CT56" s="248"/>
      <c r="CU56" s="248"/>
      <c r="CV56" s="248"/>
      <c r="CW56" s="248"/>
      <c r="CX56" s="248"/>
      <c r="CY56" s="248"/>
    </row>
    <row r="57" s="98" customFormat="1" customHeight="1" spans="1:103">
      <c r="A57" s="27">
        <v>26</v>
      </c>
      <c r="B57" s="27" t="s">
        <v>21</v>
      </c>
      <c r="C57" s="27" t="s">
        <v>22</v>
      </c>
      <c r="D57" s="29">
        <v>1</v>
      </c>
      <c r="E57" s="27" t="s">
        <v>53</v>
      </c>
      <c r="F57" s="28">
        <v>5.53</v>
      </c>
      <c r="G57" s="37" t="s">
        <v>169</v>
      </c>
      <c r="H57" s="30">
        <v>45915</v>
      </c>
      <c r="I57" s="30"/>
      <c r="J57" s="275">
        <f t="shared" si="4"/>
        <v>46005</v>
      </c>
      <c r="K57" s="30">
        <v>46113</v>
      </c>
      <c r="L57" s="30">
        <v>46142</v>
      </c>
      <c r="M57" s="272">
        <v>30</v>
      </c>
      <c r="N57" s="273">
        <f t="shared" si="2"/>
        <v>165.9</v>
      </c>
      <c r="O57" s="276">
        <f t="shared" si="6"/>
        <v>30</v>
      </c>
      <c r="P57" s="33">
        <f t="shared" si="3"/>
        <v>165.9</v>
      </c>
      <c r="Q57" s="235"/>
      <c r="R57" s="266"/>
      <c r="S57" s="266"/>
      <c r="T57" s="266"/>
      <c r="U57" s="266"/>
      <c r="V57" s="266"/>
      <c r="W57" s="266"/>
      <c r="X57" s="248"/>
      <c r="Y57" s="248"/>
      <c r="Z57" s="248"/>
      <c r="AA57" s="248"/>
      <c r="AB57" s="248"/>
      <c r="AC57" s="248"/>
      <c r="AD57" s="248"/>
      <c r="AE57" s="248"/>
      <c r="AF57" s="248"/>
      <c r="AG57" s="248"/>
      <c r="AH57" s="248"/>
      <c r="AI57" s="248"/>
      <c r="AJ57" s="248"/>
      <c r="AK57" s="248"/>
      <c r="AL57" s="248"/>
      <c r="AM57" s="248"/>
      <c r="AN57" s="248"/>
      <c r="AO57" s="248"/>
      <c r="AP57" s="248"/>
      <c r="AQ57" s="248"/>
      <c r="AR57" s="248"/>
      <c r="AS57" s="248"/>
      <c r="AT57" s="248"/>
      <c r="AU57" s="248"/>
      <c r="AV57" s="248"/>
      <c r="AW57" s="248"/>
      <c r="AX57" s="248"/>
      <c r="AY57" s="248"/>
      <c r="AZ57" s="248"/>
      <c r="BA57" s="248"/>
      <c r="BB57" s="248"/>
      <c r="BC57" s="248"/>
      <c r="BD57" s="248"/>
      <c r="BE57" s="248"/>
      <c r="BF57" s="248"/>
      <c r="BG57" s="248"/>
      <c r="BH57" s="248"/>
      <c r="BI57" s="248"/>
      <c r="BJ57" s="248"/>
      <c r="BK57" s="248"/>
      <c r="BL57" s="248"/>
      <c r="BM57" s="248"/>
      <c r="BN57" s="248"/>
      <c r="BO57" s="248"/>
      <c r="BP57" s="248"/>
      <c r="BQ57" s="248"/>
      <c r="BR57" s="248"/>
      <c r="BS57" s="248"/>
      <c r="BT57" s="248"/>
      <c r="BU57" s="248"/>
      <c r="BV57" s="248"/>
      <c r="BW57" s="248"/>
      <c r="BX57" s="248"/>
      <c r="BY57" s="248"/>
      <c r="BZ57" s="248"/>
      <c r="CA57" s="248"/>
      <c r="CB57" s="248"/>
      <c r="CC57" s="248"/>
      <c r="CD57" s="248"/>
      <c r="CE57" s="248"/>
      <c r="CF57" s="248"/>
      <c r="CG57" s="248"/>
      <c r="CH57" s="248"/>
      <c r="CI57" s="248"/>
      <c r="CJ57" s="248"/>
      <c r="CK57" s="248"/>
      <c r="CL57" s="248"/>
      <c r="CM57" s="248"/>
      <c r="CN57" s="248"/>
      <c r="CO57" s="248"/>
      <c r="CP57" s="248"/>
      <c r="CQ57" s="248"/>
      <c r="CR57" s="248"/>
      <c r="CS57" s="248"/>
      <c r="CT57" s="248"/>
      <c r="CU57" s="248"/>
      <c r="CV57" s="248"/>
      <c r="CW57" s="248"/>
      <c r="CX57" s="248"/>
      <c r="CY57" s="248"/>
    </row>
    <row r="58" s="98" customFormat="1" customHeight="1" spans="1:103">
      <c r="A58" s="27">
        <v>26</v>
      </c>
      <c r="B58" s="27" t="s">
        <v>21</v>
      </c>
      <c r="C58" s="27" t="s">
        <v>22</v>
      </c>
      <c r="D58" s="29">
        <v>1</v>
      </c>
      <c r="E58" s="27" t="s">
        <v>53</v>
      </c>
      <c r="F58" s="28">
        <v>5.53</v>
      </c>
      <c r="G58" s="37" t="s">
        <v>166</v>
      </c>
      <c r="H58" s="30">
        <v>45915</v>
      </c>
      <c r="I58" s="30"/>
      <c r="J58" s="275">
        <f t="shared" si="4"/>
        <v>46005</v>
      </c>
      <c r="K58" s="30">
        <v>46113</v>
      </c>
      <c r="L58" s="30">
        <v>46142</v>
      </c>
      <c r="M58" s="272">
        <v>30</v>
      </c>
      <c r="N58" s="273">
        <f t="shared" si="2"/>
        <v>165.9</v>
      </c>
      <c r="O58" s="276">
        <f t="shared" si="6"/>
        <v>30</v>
      </c>
      <c r="P58" s="33">
        <f t="shared" si="3"/>
        <v>165.9</v>
      </c>
      <c r="Q58" s="235"/>
      <c r="R58" s="266"/>
      <c r="S58" s="266"/>
      <c r="T58" s="266"/>
      <c r="U58" s="266"/>
      <c r="V58" s="266"/>
      <c r="W58" s="266"/>
      <c r="X58" s="248"/>
      <c r="Y58" s="248"/>
      <c r="Z58" s="248"/>
      <c r="AA58" s="248"/>
      <c r="AB58" s="248"/>
      <c r="AC58" s="248"/>
      <c r="AD58" s="248"/>
      <c r="AE58" s="248"/>
      <c r="AF58" s="248"/>
      <c r="AG58" s="248"/>
      <c r="AH58" s="248"/>
      <c r="AI58" s="248"/>
      <c r="AJ58" s="248"/>
      <c r="AK58" s="248"/>
      <c r="AL58" s="248"/>
      <c r="AM58" s="248"/>
      <c r="AN58" s="248"/>
      <c r="AO58" s="248"/>
      <c r="AP58" s="248"/>
      <c r="AQ58" s="248"/>
      <c r="AR58" s="248"/>
      <c r="AS58" s="248"/>
      <c r="AT58" s="248"/>
      <c r="AU58" s="248"/>
      <c r="AV58" s="248"/>
      <c r="AW58" s="248"/>
      <c r="AX58" s="248"/>
      <c r="AY58" s="248"/>
      <c r="AZ58" s="248"/>
      <c r="BA58" s="248"/>
      <c r="BB58" s="248"/>
      <c r="BC58" s="248"/>
      <c r="BD58" s="248"/>
      <c r="BE58" s="248"/>
      <c r="BF58" s="248"/>
      <c r="BG58" s="248"/>
      <c r="BH58" s="248"/>
      <c r="BI58" s="248"/>
      <c r="BJ58" s="248"/>
      <c r="BK58" s="248"/>
      <c r="BL58" s="248"/>
      <c r="BM58" s="248"/>
      <c r="BN58" s="248"/>
      <c r="BO58" s="248"/>
      <c r="BP58" s="248"/>
      <c r="BQ58" s="248"/>
      <c r="BR58" s="248"/>
      <c r="BS58" s="248"/>
      <c r="BT58" s="248"/>
      <c r="BU58" s="248"/>
      <c r="BV58" s="248"/>
      <c r="BW58" s="248"/>
      <c r="BX58" s="248"/>
      <c r="BY58" s="248"/>
      <c r="BZ58" s="248"/>
      <c r="CA58" s="248"/>
      <c r="CB58" s="248"/>
      <c r="CC58" s="248"/>
      <c r="CD58" s="248"/>
      <c r="CE58" s="248"/>
      <c r="CF58" s="248"/>
      <c r="CG58" s="248"/>
      <c r="CH58" s="248"/>
      <c r="CI58" s="248"/>
      <c r="CJ58" s="248"/>
      <c r="CK58" s="248"/>
      <c r="CL58" s="248"/>
      <c r="CM58" s="248"/>
      <c r="CN58" s="248"/>
      <c r="CO58" s="248"/>
      <c r="CP58" s="248"/>
      <c r="CQ58" s="248"/>
      <c r="CR58" s="248"/>
      <c r="CS58" s="248"/>
      <c r="CT58" s="248"/>
      <c r="CU58" s="248"/>
      <c r="CV58" s="248"/>
      <c r="CW58" s="248"/>
      <c r="CX58" s="248"/>
      <c r="CY58" s="248"/>
    </row>
    <row r="59" s="98" customFormat="1" customHeight="1" spans="1:103">
      <c r="A59" s="27">
        <v>26</v>
      </c>
      <c r="B59" s="27" t="s">
        <v>21</v>
      </c>
      <c r="C59" s="27" t="s">
        <v>22</v>
      </c>
      <c r="D59" s="29">
        <v>1</v>
      </c>
      <c r="E59" s="27" t="s">
        <v>53</v>
      </c>
      <c r="F59" s="28">
        <v>5.53</v>
      </c>
      <c r="G59" s="37" t="s">
        <v>167</v>
      </c>
      <c r="H59" s="30">
        <v>45915</v>
      </c>
      <c r="I59" s="30"/>
      <c r="J59" s="275">
        <f t="shared" si="4"/>
        <v>46005</v>
      </c>
      <c r="K59" s="30">
        <v>46113</v>
      </c>
      <c r="L59" s="30">
        <v>46142</v>
      </c>
      <c r="M59" s="272">
        <v>30</v>
      </c>
      <c r="N59" s="273">
        <f t="shared" si="2"/>
        <v>165.9</v>
      </c>
      <c r="O59" s="276">
        <f t="shared" si="6"/>
        <v>30</v>
      </c>
      <c r="P59" s="33">
        <f t="shared" si="3"/>
        <v>165.9</v>
      </c>
      <c r="Q59" s="235"/>
      <c r="R59" s="266"/>
      <c r="S59" s="266"/>
      <c r="T59" s="266"/>
      <c r="U59" s="266"/>
      <c r="V59" s="266"/>
      <c r="W59" s="266"/>
      <c r="X59" s="248"/>
      <c r="Y59" s="248"/>
      <c r="Z59" s="248"/>
      <c r="AA59" s="248"/>
      <c r="AB59" s="248"/>
      <c r="AC59" s="248"/>
      <c r="AD59" s="248"/>
      <c r="AE59" s="248"/>
      <c r="AF59" s="248"/>
      <c r="AG59" s="248"/>
      <c r="AH59" s="248"/>
      <c r="AI59" s="248"/>
      <c r="AJ59" s="248"/>
      <c r="AK59" s="248"/>
      <c r="AL59" s="248"/>
      <c r="AM59" s="248"/>
      <c r="AN59" s="248"/>
      <c r="AO59" s="248"/>
      <c r="AP59" s="248"/>
      <c r="AQ59" s="248"/>
      <c r="AR59" s="248"/>
      <c r="AS59" s="248"/>
      <c r="AT59" s="248"/>
      <c r="AU59" s="248"/>
      <c r="AV59" s="248"/>
      <c r="AW59" s="248"/>
      <c r="AX59" s="248"/>
      <c r="AY59" s="248"/>
      <c r="AZ59" s="248"/>
      <c r="BA59" s="248"/>
      <c r="BB59" s="248"/>
      <c r="BC59" s="248"/>
      <c r="BD59" s="248"/>
      <c r="BE59" s="248"/>
      <c r="BF59" s="248"/>
      <c r="BG59" s="248"/>
      <c r="BH59" s="248"/>
      <c r="BI59" s="248"/>
      <c r="BJ59" s="248"/>
      <c r="BK59" s="248"/>
      <c r="BL59" s="248"/>
      <c r="BM59" s="248"/>
      <c r="BN59" s="248"/>
      <c r="BO59" s="248"/>
      <c r="BP59" s="248"/>
      <c r="BQ59" s="248"/>
      <c r="BR59" s="248"/>
      <c r="BS59" s="248"/>
      <c r="BT59" s="248"/>
      <c r="BU59" s="248"/>
      <c r="BV59" s="248"/>
      <c r="BW59" s="248"/>
      <c r="BX59" s="248"/>
      <c r="BY59" s="248"/>
      <c r="BZ59" s="248"/>
      <c r="CA59" s="248"/>
      <c r="CB59" s="248"/>
      <c r="CC59" s="248"/>
      <c r="CD59" s="248"/>
      <c r="CE59" s="248"/>
      <c r="CF59" s="248"/>
      <c r="CG59" s="248"/>
      <c r="CH59" s="248"/>
      <c r="CI59" s="248"/>
      <c r="CJ59" s="248"/>
      <c r="CK59" s="248"/>
      <c r="CL59" s="248"/>
      <c r="CM59" s="248"/>
      <c r="CN59" s="248"/>
      <c r="CO59" s="248"/>
      <c r="CP59" s="248"/>
      <c r="CQ59" s="248"/>
      <c r="CR59" s="248"/>
      <c r="CS59" s="248"/>
      <c r="CT59" s="248"/>
      <c r="CU59" s="248"/>
      <c r="CV59" s="248"/>
      <c r="CW59" s="248"/>
      <c r="CX59" s="248"/>
      <c r="CY59" s="248"/>
    </row>
    <row r="60" s="98" customFormat="1" customHeight="1" spans="1:103">
      <c r="A60" s="27">
        <v>26</v>
      </c>
      <c r="B60" s="27" t="s">
        <v>21</v>
      </c>
      <c r="C60" s="27" t="s">
        <v>22</v>
      </c>
      <c r="D60" s="29">
        <v>1</v>
      </c>
      <c r="E60" s="27" t="s">
        <v>53</v>
      </c>
      <c r="F60" s="28">
        <v>5.53</v>
      </c>
      <c r="G60" s="37" t="s">
        <v>164</v>
      </c>
      <c r="H60" s="30">
        <v>45915</v>
      </c>
      <c r="I60" s="30"/>
      <c r="J60" s="275">
        <f t="shared" si="4"/>
        <v>46005</v>
      </c>
      <c r="K60" s="30">
        <v>46113</v>
      </c>
      <c r="L60" s="30">
        <v>46142</v>
      </c>
      <c r="M60" s="272">
        <v>30</v>
      </c>
      <c r="N60" s="273">
        <f t="shared" si="2"/>
        <v>165.9</v>
      </c>
      <c r="O60" s="276">
        <f t="shared" si="6"/>
        <v>30</v>
      </c>
      <c r="P60" s="33">
        <f t="shared" si="3"/>
        <v>165.9</v>
      </c>
      <c r="Q60" s="235"/>
      <c r="R60" s="266"/>
      <c r="S60" s="266"/>
      <c r="T60" s="266"/>
      <c r="U60" s="266"/>
      <c r="V60" s="266"/>
      <c r="W60" s="266"/>
      <c r="X60" s="248"/>
      <c r="Y60" s="248"/>
      <c r="Z60" s="248"/>
      <c r="AA60" s="248"/>
      <c r="AB60" s="248"/>
      <c r="AC60" s="248"/>
      <c r="AD60" s="248"/>
      <c r="AE60" s="248"/>
      <c r="AF60" s="248"/>
      <c r="AG60" s="248"/>
      <c r="AH60" s="248"/>
      <c r="AI60" s="248"/>
      <c r="AJ60" s="248"/>
      <c r="AK60" s="248"/>
      <c r="AL60" s="248"/>
      <c r="AM60" s="248"/>
      <c r="AN60" s="248"/>
      <c r="AO60" s="248"/>
      <c r="AP60" s="248"/>
      <c r="AQ60" s="248"/>
      <c r="AR60" s="248"/>
      <c r="AS60" s="248"/>
      <c r="AT60" s="248"/>
      <c r="AU60" s="248"/>
      <c r="AV60" s="248"/>
      <c r="AW60" s="248"/>
      <c r="AX60" s="248"/>
      <c r="AY60" s="248"/>
      <c r="AZ60" s="248"/>
      <c r="BA60" s="248"/>
      <c r="BB60" s="248"/>
      <c r="BC60" s="248"/>
      <c r="BD60" s="248"/>
      <c r="BE60" s="248"/>
      <c r="BF60" s="248"/>
      <c r="BG60" s="248"/>
      <c r="BH60" s="248"/>
      <c r="BI60" s="248"/>
      <c r="BJ60" s="248"/>
      <c r="BK60" s="248"/>
      <c r="BL60" s="248"/>
      <c r="BM60" s="248"/>
      <c r="BN60" s="248"/>
      <c r="BO60" s="248"/>
      <c r="BP60" s="248"/>
      <c r="BQ60" s="248"/>
      <c r="BR60" s="248"/>
      <c r="BS60" s="248"/>
      <c r="BT60" s="248"/>
      <c r="BU60" s="248"/>
      <c r="BV60" s="248"/>
      <c r="BW60" s="248"/>
      <c r="BX60" s="248"/>
      <c r="BY60" s="248"/>
      <c r="BZ60" s="248"/>
      <c r="CA60" s="248"/>
      <c r="CB60" s="248"/>
      <c r="CC60" s="248"/>
      <c r="CD60" s="248"/>
      <c r="CE60" s="248"/>
      <c r="CF60" s="248"/>
      <c r="CG60" s="248"/>
      <c r="CH60" s="248"/>
      <c r="CI60" s="248"/>
      <c r="CJ60" s="248"/>
      <c r="CK60" s="248"/>
      <c r="CL60" s="248"/>
      <c r="CM60" s="248"/>
      <c r="CN60" s="248"/>
      <c r="CO60" s="248"/>
      <c r="CP60" s="248"/>
      <c r="CQ60" s="248"/>
      <c r="CR60" s="248"/>
      <c r="CS60" s="248"/>
      <c r="CT60" s="248"/>
      <c r="CU60" s="248"/>
      <c r="CV60" s="248"/>
      <c r="CW60" s="248"/>
      <c r="CX60" s="248"/>
      <c r="CY60" s="248"/>
    </row>
    <row r="61" s="98" customFormat="1" customHeight="1" spans="1:103">
      <c r="A61" s="27">
        <v>26</v>
      </c>
      <c r="B61" s="27" t="s">
        <v>21</v>
      </c>
      <c r="C61" s="27" t="s">
        <v>22</v>
      </c>
      <c r="D61" s="29">
        <v>1</v>
      </c>
      <c r="E61" s="27" t="s">
        <v>53</v>
      </c>
      <c r="F61" s="28">
        <v>5.53</v>
      </c>
      <c r="G61" s="37" t="s">
        <v>165</v>
      </c>
      <c r="H61" s="30">
        <v>45915</v>
      </c>
      <c r="I61" s="30"/>
      <c r="J61" s="275">
        <f t="shared" si="4"/>
        <v>46005</v>
      </c>
      <c r="K61" s="30">
        <v>46113</v>
      </c>
      <c r="L61" s="30">
        <v>46142</v>
      </c>
      <c r="M61" s="272">
        <v>30</v>
      </c>
      <c r="N61" s="273">
        <f t="shared" si="2"/>
        <v>165.9</v>
      </c>
      <c r="O61" s="276">
        <f t="shared" si="6"/>
        <v>30</v>
      </c>
      <c r="P61" s="33">
        <f t="shared" si="3"/>
        <v>165.9</v>
      </c>
      <c r="Q61" s="235"/>
      <c r="R61" s="266"/>
      <c r="S61" s="266"/>
      <c r="T61" s="266"/>
      <c r="U61" s="266"/>
      <c r="V61" s="266"/>
      <c r="W61" s="266"/>
      <c r="X61" s="248"/>
      <c r="Y61" s="248"/>
      <c r="Z61" s="248"/>
      <c r="AA61" s="248"/>
      <c r="AB61" s="248"/>
      <c r="AC61" s="248"/>
      <c r="AD61" s="248"/>
      <c r="AE61" s="248"/>
      <c r="AF61" s="248"/>
      <c r="AG61" s="248"/>
      <c r="AH61" s="248"/>
      <c r="AI61" s="248"/>
      <c r="AJ61" s="248"/>
      <c r="AK61" s="248"/>
      <c r="AL61" s="248"/>
      <c r="AM61" s="248"/>
      <c r="AN61" s="248"/>
      <c r="AO61" s="248"/>
      <c r="AP61" s="248"/>
      <c r="AQ61" s="248"/>
      <c r="AR61" s="248"/>
      <c r="AS61" s="248"/>
      <c r="AT61" s="248"/>
      <c r="AU61" s="248"/>
      <c r="AV61" s="248"/>
      <c r="AW61" s="248"/>
      <c r="AX61" s="248"/>
      <c r="AY61" s="248"/>
      <c r="AZ61" s="248"/>
      <c r="BA61" s="248"/>
      <c r="BB61" s="248"/>
      <c r="BC61" s="248"/>
      <c r="BD61" s="248"/>
      <c r="BE61" s="248"/>
      <c r="BF61" s="248"/>
      <c r="BG61" s="248"/>
      <c r="BH61" s="248"/>
      <c r="BI61" s="248"/>
      <c r="BJ61" s="248"/>
      <c r="BK61" s="248"/>
      <c r="BL61" s="248"/>
      <c r="BM61" s="248"/>
      <c r="BN61" s="248"/>
      <c r="BO61" s="248"/>
      <c r="BP61" s="248"/>
      <c r="BQ61" s="248"/>
      <c r="BR61" s="248"/>
      <c r="BS61" s="248"/>
      <c r="BT61" s="248"/>
      <c r="BU61" s="248"/>
      <c r="BV61" s="248"/>
      <c r="BW61" s="248"/>
      <c r="BX61" s="248"/>
      <c r="BY61" s="248"/>
      <c r="BZ61" s="248"/>
      <c r="CA61" s="248"/>
      <c r="CB61" s="248"/>
      <c r="CC61" s="248"/>
      <c r="CD61" s="248"/>
      <c r="CE61" s="248"/>
      <c r="CF61" s="248"/>
      <c r="CG61" s="248"/>
      <c r="CH61" s="248"/>
      <c r="CI61" s="248"/>
      <c r="CJ61" s="248"/>
      <c r="CK61" s="248"/>
      <c r="CL61" s="248"/>
      <c r="CM61" s="248"/>
      <c r="CN61" s="248"/>
      <c r="CO61" s="248"/>
      <c r="CP61" s="248"/>
      <c r="CQ61" s="248"/>
      <c r="CR61" s="248"/>
      <c r="CS61" s="248"/>
      <c r="CT61" s="248"/>
      <c r="CU61" s="248"/>
      <c r="CV61" s="248"/>
      <c r="CW61" s="248"/>
      <c r="CX61" s="248"/>
      <c r="CY61" s="248"/>
    </row>
    <row r="62" s="98" customFormat="1" customHeight="1" spans="1:103">
      <c r="A62" s="27">
        <v>26</v>
      </c>
      <c r="B62" s="27" t="s">
        <v>21</v>
      </c>
      <c r="C62" s="27" t="s">
        <v>22</v>
      </c>
      <c r="D62" s="29">
        <v>1</v>
      </c>
      <c r="E62" s="27" t="s">
        <v>53</v>
      </c>
      <c r="F62" s="28">
        <v>5.53</v>
      </c>
      <c r="G62" s="37" t="s">
        <v>162</v>
      </c>
      <c r="H62" s="30">
        <v>45915</v>
      </c>
      <c r="I62" s="30"/>
      <c r="J62" s="275">
        <f t="shared" si="4"/>
        <v>46005</v>
      </c>
      <c r="K62" s="30">
        <v>46113</v>
      </c>
      <c r="L62" s="30">
        <v>46142</v>
      </c>
      <c r="M62" s="272">
        <v>30</v>
      </c>
      <c r="N62" s="273">
        <f t="shared" si="2"/>
        <v>165.9</v>
      </c>
      <c r="O62" s="276">
        <f t="shared" si="6"/>
        <v>30</v>
      </c>
      <c r="P62" s="33">
        <f t="shared" si="3"/>
        <v>165.9</v>
      </c>
      <c r="Q62" s="235"/>
      <c r="R62" s="266"/>
      <c r="S62" s="266"/>
      <c r="T62" s="266"/>
      <c r="U62" s="266"/>
      <c r="V62" s="266"/>
      <c r="W62" s="266"/>
      <c r="X62" s="248"/>
      <c r="Y62" s="248"/>
      <c r="Z62" s="248"/>
      <c r="AA62" s="248"/>
      <c r="AB62" s="248"/>
      <c r="AC62" s="248"/>
      <c r="AD62" s="248"/>
      <c r="AE62" s="248"/>
      <c r="AF62" s="248"/>
      <c r="AG62" s="248"/>
      <c r="AH62" s="248"/>
      <c r="AI62" s="248"/>
      <c r="AJ62" s="248"/>
      <c r="AK62" s="248"/>
      <c r="AL62" s="248"/>
      <c r="AM62" s="248"/>
      <c r="AN62" s="248"/>
      <c r="AO62" s="248"/>
      <c r="AP62" s="248"/>
      <c r="AQ62" s="248"/>
      <c r="AR62" s="248"/>
      <c r="AS62" s="248"/>
      <c r="AT62" s="248"/>
      <c r="AU62" s="248"/>
      <c r="AV62" s="248"/>
      <c r="AW62" s="248"/>
      <c r="AX62" s="248"/>
      <c r="AY62" s="248"/>
      <c r="AZ62" s="248"/>
      <c r="BA62" s="248"/>
      <c r="BB62" s="248"/>
      <c r="BC62" s="248"/>
      <c r="BD62" s="248"/>
      <c r="BE62" s="248"/>
      <c r="BF62" s="248"/>
      <c r="BG62" s="248"/>
      <c r="BH62" s="248"/>
      <c r="BI62" s="248"/>
      <c r="BJ62" s="248"/>
      <c r="BK62" s="248"/>
      <c r="BL62" s="248"/>
      <c r="BM62" s="248"/>
      <c r="BN62" s="248"/>
      <c r="BO62" s="248"/>
      <c r="BP62" s="248"/>
      <c r="BQ62" s="248"/>
      <c r="BR62" s="248"/>
      <c r="BS62" s="248"/>
      <c r="BT62" s="248"/>
      <c r="BU62" s="248"/>
      <c r="BV62" s="248"/>
      <c r="BW62" s="248"/>
      <c r="BX62" s="248"/>
      <c r="BY62" s="248"/>
      <c r="BZ62" s="248"/>
      <c r="CA62" s="248"/>
      <c r="CB62" s="248"/>
      <c r="CC62" s="248"/>
      <c r="CD62" s="248"/>
      <c r="CE62" s="248"/>
      <c r="CF62" s="248"/>
      <c r="CG62" s="248"/>
      <c r="CH62" s="248"/>
      <c r="CI62" s="248"/>
      <c r="CJ62" s="248"/>
      <c r="CK62" s="248"/>
      <c r="CL62" s="248"/>
      <c r="CM62" s="248"/>
      <c r="CN62" s="248"/>
      <c r="CO62" s="248"/>
      <c r="CP62" s="248"/>
      <c r="CQ62" s="248"/>
      <c r="CR62" s="248"/>
      <c r="CS62" s="248"/>
      <c r="CT62" s="248"/>
      <c r="CU62" s="248"/>
      <c r="CV62" s="248"/>
      <c r="CW62" s="248"/>
      <c r="CX62" s="248"/>
      <c r="CY62" s="248"/>
    </row>
    <row r="63" s="98" customFormat="1" customHeight="1" spans="1:103">
      <c r="A63" s="27">
        <v>26</v>
      </c>
      <c r="B63" s="27" t="s">
        <v>21</v>
      </c>
      <c r="C63" s="27" t="s">
        <v>22</v>
      </c>
      <c r="D63" s="29">
        <v>1</v>
      </c>
      <c r="E63" s="27" t="s">
        <v>53</v>
      </c>
      <c r="F63" s="28">
        <v>5.53</v>
      </c>
      <c r="G63" s="37" t="s">
        <v>163</v>
      </c>
      <c r="H63" s="30">
        <v>45915</v>
      </c>
      <c r="I63" s="30"/>
      <c r="J63" s="275">
        <f t="shared" si="4"/>
        <v>46005</v>
      </c>
      <c r="K63" s="30">
        <v>46113</v>
      </c>
      <c r="L63" s="30">
        <v>46142</v>
      </c>
      <c r="M63" s="272">
        <v>30</v>
      </c>
      <c r="N63" s="273">
        <f t="shared" si="2"/>
        <v>165.9</v>
      </c>
      <c r="O63" s="276">
        <f t="shared" si="6"/>
        <v>30</v>
      </c>
      <c r="P63" s="33">
        <f t="shared" si="3"/>
        <v>165.9</v>
      </c>
      <c r="Q63" s="235"/>
      <c r="R63" s="266"/>
      <c r="S63" s="266"/>
      <c r="T63" s="266"/>
      <c r="U63" s="266"/>
      <c r="V63" s="266"/>
      <c r="W63" s="266"/>
      <c r="X63" s="248"/>
      <c r="Y63" s="248"/>
      <c r="Z63" s="248"/>
      <c r="AA63" s="248"/>
      <c r="AB63" s="248"/>
      <c r="AC63" s="248"/>
      <c r="AD63" s="248"/>
      <c r="AE63" s="248"/>
      <c r="AF63" s="248"/>
      <c r="AG63" s="248"/>
      <c r="AH63" s="248"/>
      <c r="AI63" s="248"/>
      <c r="AJ63" s="248"/>
      <c r="AK63" s="248"/>
      <c r="AL63" s="248"/>
      <c r="AM63" s="248"/>
      <c r="AN63" s="248"/>
      <c r="AO63" s="248"/>
      <c r="AP63" s="248"/>
      <c r="AQ63" s="248"/>
      <c r="AR63" s="248"/>
      <c r="AS63" s="248"/>
      <c r="AT63" s="248"/>
      <c r="AU63" s="248"/>
      <c r="AV63" s="248"/>
      <c r="AW63" s="248"/>
      <c r="AX63" s="248"/>
      <c r="AY63" s="248"/>
      <c r="AZ63" s="248"/>
      <c r="BA63" s="248"/>
      <c r="BB63" s="248"/>
      <c r="BC63" s="248"/>
      <c r="BD63" s="248"/>
      <c r="BE63" s="248"/>
      <c r="BF63" s="248"/>
      <c r="BG63" s="248"/>
      <c r="BH63" s="248"/>
      <c r="BI63" s="248"/>
      <c r="BJ63" s="248"/>
      <c r="BK63" s="248"/>
      <c r="BL63" s="248"/>
      <c r="BM63" s="248"/>
      <c r="BN63" s="248"/>
      <c r="BO63" s="248"/>
      <c r="BP63" s="248"/>
      <c r="BQ63" s="248"/>
      <c r="BR63" s="248"/>
      <c r="BS63" s="248"/>
      <c r="BT63" s="248"/>
      <c r="BU63" s="248"/>
      <c r="BV63" s="248"/>
      <c r="BW63" s="248"/>
      <c r="BX63" s="248"/>
      <c r="BY63" s="248"/>
      <c r="BZ63" s="248"/>
      <c r="CA63" s="248"/>
      <c r="CB63" s="248"/>
      <c r="CC63" s="248"/>
      <c r="CD63" s="248"/>
      <c r="CE63" s="248"/>
      <c r="CF63" s="248"/>
      <c r="CG63" s="248"/>
      <c r="CH63" s="248"/>
      <c r="CI63" s="248"/>
      <c r="CJ63" s="248"/>
      <c r="CK63" s="248"/>
      <c r="CL63" s="248"/>
      <c r="CM63" s="248"/>
      <c r="CN63" s="248"/>
      <c r="CO63" s="248"/>
      <c r="CP63" s="248"/>
      <c r="CQ63" s="248"/>
      <c r="CR63" s="248"/>
      <c r="CS63" s="248"/>
      <c r="CT63" s="248"/>
      <c r="CU63" s="248"/>
      <c r="CV63" s="248"/>
      <c r="CW63" s="248"/>
      <c r="CX63" s="248"/>
      <c r="CY63" s="248"/>
    </row>
    <row r="64" s="98" customFormat="1" customHeight="1" spans="1:103">
      <c r="A64" s="27">
        <v>26</v>
      </c>
      <c r="B64" s="27" t="s">
        <v>21</v>
      </c>
      <c r="C64" s="27" t="s">
        <v>22</v>
      </c>
      <c r="D64" s="29">
        <v>1</v>
      </c>
      <c r="E64" s="27" t="s">
        <v>53</v>
      </c>
      <c r="F64" s="28">
        <v>5.53</v>
      </c>
      <c r="G64" s="37" t="s">
        <v>160</v>
      </c>
      <c r="H64" s="30">
        <v>45915</v>
      </c>
      <c r="I64" s="30"/>
      <c r="J64" s="275">
        <f t="shared" si="4"/>
        <v>46005</v>
      </c>
      <c r="K64" s="30">
        <v>46113</v>
      </c>
      <c r="L64" s="30">
        <v>46142</v>
      </c>
      <c r="M64" s="272">
        <v>30</v>
      </c>
      <c r="N64" s="273">
        <f t="shared" si="2"/>
        <v>165.9</v>
      </c>
      <c r="O64" s="276">
        <f t="shared" si="6"/>
        <v>30</v>
      </c>
      <c r="P64" s="33">
        <f t="shared" si="3"/>
        <v>165.9</v>
      </c>
      <c r="Q64" s="235"/>
      <c r="R64" s="266"/>
      <c r="S64" s="266"/>
      <c r="T64" s="266"/>
      <c r="U64" s="266"/>
      <c r="V64" s="266"/>
      <c r="W64" s="266"/>
      <c r="X64" s="248"/>
      <c r="Y64" s="248"/>
      <c r="Z64" s="248"/>
      <c r="AA64" s="248"/>
      <c r="AB64" s="248"/>
      <c r="AC64" s="248"/>
      <c r="AD64" s="248"/>
      <c r="AE64" s="248"/>
      <c r="AF64" s="248"/>
      <c r="AG64" s="248"/>
      <c r="AH64" s="248"/>
      <c r="AI64" s="248"/>
      <c r="AJ64" s="248"/>
      <c r="AK64" s="248"/>
      <c r="AL64" s="248"/>
      <c r="AM64" s="248"/>
      <c r="AN64" s="248"/>
      <c r="AO64" s="248"/>
      <c r="AP64" s="248"/>
      <c r="AQ64" s="248"/>
      <c r="AR64" s="248"/>
      <c r="AS64" s="248"/>
      <c r="AT64" s="248"/>
      <c r="AU64" s="248"/>
      <c r="AV64" s="248"/>
      <c r="AW64" s="248"/>
      <c r="AX64" s="248"/>
      <c r="AY64" s="248"/>
      <c r="AZ64" s="248"/>
      <c r="BA64" s="248"/>
      <c r="BB64" s="248"/>
      <c r="BC64" s="248"/>
      <c r="BD64" s="248"/>
      <c r="BE64" s="248"/>
      <c r="BF64" s="248"/>
      <c r="BG64" s="248"/>
      <c r="BH64" s="248"/>
      <c r="BI64" s="248"/>
      <c r="BJ64" s="248"/>
      <c r="BK64" s="248"/>
      <c r="BL64" s="248"/>
      <c r="BM64" s="248"/>
      <c r="BN64" s="248"/>
      <c r="BO64" s="248"/>
      <c r="BP64" s="248"/>
      <c r="BQ64" s="248"/>
      <c r="BR64" s="248"/>
      <c r="BS64" s="248"/>
      <c r="BT64" s="248"/>
      <c r="BU64" s="248"/>
      <c r="BV64" s="248"/>
      <c r="BW64" s="248"/>
      <c r="BX64" s="248"/>
      <c r="BY64" s="248"/>
      <c r="BZ64" s="248"/>
      <c r="CA64" s="248"/>
      <c r="CB64" s="248"/>
      <c r="CC64" s="248"/>
      <c r="CD64" s="248"/>
      <c r="CE64" s="248"/>
      <c r="CF64" s="248"/>
      <c r="CG64" s="248"/>
      <c r="CH64" s="248"/>
      <c r="CI64" s="248"/>
      <c r="CJ64" s="248"/>
      <c r="CK64" s="248"/>
      <c r="CL64" s="248"/>
      <c r="CM64" s="248"/>
      <c r="CN64" s="248"/>
      <c r="CO64" s="248"/>
      <c r="CP64" s="248"/>
      <c r="CQ64" s="248"/>
      <c r="CR64" s="248"/>
      <c r="CS64" s="248"/>
      <c r="CT64" s="248"/>
      <c r="CU64" s="248"/>
      <c r="CV64" s="248"/>
      <c r="CW64" s="248"/>
      <c r="CX64" s="248"/>
      <c r="CY64" s="248"/>
    </row>
    <row r="65" s="98" customFormat="1" customHeight="1" spans="1:103">
      <c r="A65" s="27">
        <v>26</v>
      </c>
      <c r="B65" s="27" t="s">
        <v>21</v>
      </c>
      <c r="C65" s="27" t="s">
        <v>22</v>
      </c>
      <c r="D65" s="29">
        <v>1</v>
      </c>
      <c r="E65" s="27" t="s">
        <v>53</v>
      </c>
      <c r="F65" s="28">
        <v>5.53</v>
      </c>
      <c r="G65" s="37" t="s">
        <v>161</v>
      </c>
      <c r="H65" s="30">
        <v>45915</v>
      </c>
      <c r="I65" s="30"/>
      <c r="J65" s="275">
        <f t="shared" si="4"/>
        <v>46005</v>
      </c>
      <c r="K65" s="30">
        <v>46113</v>
      </c>
      <c r="L65" s="30">
        <v>46142</v>
      </c>
      <c r="M65" s="272">
        <v>30</v>
      </c>
      <c r="N65" s="273">
        <f t="shared" si="2"/>
        <v>165.9</v>
      </c>
      <c r="O65" s="276">
        <f t="shared" si="6"/>
        <v>30</v>
      </c>
      <c r="P65" s="33">
        <f t="shared" si="3"/>
        <v>165.9</v>
      </c>
      <c r="Q65" s="235"/>
      <c r="R65" s="266"/>
      <c r="S65" s="266"/>
      <c r="T65" s="266"/>
      <c r="U65" s="266"/>
      <c r="V65" s="266"/>
      <c r="W65" s="266"/>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c r="BL65" s="248"/>
      <c r="BM65" s="248"/>
      <c r="BN65" s="248"/>
      <c r="BO65" s="248"/>
      <c r="BP65" s="248"/>
      <c r="BQ65" s="248"/>
      <c r="BR65" s="248"/>
      <c r="BS65" s="248"/>
      <c r="BT65" s="248"/>
      <c r="BU65" s="248"/>
      <c r="BV65" s="248"/>
      <c r="BW65" s="248"/>
      <c r="BX65" s="248"/>
      <c r="BY65" s="248"/>
      <c r="BZ65" s="248"/>
      <c r="CA65" s="248"/>
      <c r="CB65" s="248"/>
      <c r="CC65" s="248"/>
      <c r="CD65" s="248"/>
      <c r="CE65" s="248"/>
      <c r="CF65" s="248"/>
      <c r="CG65" s="248"/>
      <c r="CH65" s="248"/>
      <c r="CI65" s="248"/>
      <c r="CJ65" s="248"/>
      <c r="CK65" s="248"/>
      <c r="CL65" s="248"/>
      <c r="CM65" s="248"/>
      <c r="CN65" s="248"/>
      <c r="CO65" s="248"/>
      <c r="CP65" s="248"/>
      <c r="CQ65" s="248"/>
      <c r="CR65" s="248"/>
      <c r="CS65" s="248"/>
      <c r="CT65" s="248"/>
      <c r="CU65" s="248"/>
      <c r="CV65" s="248"/>
      <c r="CW65" s="248"/>
      <c r="CX65" s="248"/>
      <c r="CY65" s="248"/>
    </row>
    <row r="66" s="248" customFormat="1" customHeight="1" spans="1:103">
      <c r="A66" s="72">
        <v>26</v>
      </c>
      <c r="B66" s="72" t="s">
        <v>21</v>
      </c>
      <c r="C66" s="72" t="s">
        <v>22</v>
      </c>
      <c r="D66" s="73">
        <v>1</v>
      </c>
      <c r="E66" s="72" t="s">
        <v>53</v>
      </c>
      <c r="F66" s="74">
        <v>5.53</v>
      </c>
      <c r="G66" s="75" t="s">
        <v>158</v>
      </c>
      <c r="H66" s="66">
        <v>45915</v>
      </c>
      <c r="I66" s="204">
        <v>46134</v>
      </c>
      <c r="J66" s="66">
        <f t="shared" si="4"/>
        <v>46005</v>
      </c>
      <c r="K66" s="66">
        <v>46113</v>
      </c>
      <c r="L66" s="66">
        <v>46134</v>
      </c>
      <c r="M66" s="272">
        <v>21</v>
      </c>
      <c r="N66" s="273">
        <f t="shared" si="2"/>
        <v>116.13</v>
      </c>
      <c r="O66" s="78">
        <f t="shared" ref="O66:O70" si="7">L66-K66</f>
        <v>21</v>
      </c>
      <c r="P66" s="79">
        <f t="shared" si="3"/>
        <v>116.13</v>
      </c>
      <c r="Q66" s="274" t="s">
        <v>133</v>
      </c>
      <c r="R66" s="266"/>
      <c r="S66" s="266"/>
      <c r="T66" s="266"/>
      <c r="U66" s="266"/>
      <c r="V66" s="266"/>
      <c r="W66" s="266"/>
    </row>
    <row r="67" s="248" customFormat="1" customHeight="1" spans="1:103">
      <c r="A67" s="72">
        <v>26</v>
      </c>
      <c r="B67" s="72" t="s">
        <v>21</v>
      </c>
      <c r="C67" s="72" t="s">
        <v>22</v>
      </c>
      <c r="D67" s="73">
        <v>1</v>
      </c>
      <c r="E67" s="72" t="s">
        <v>53</v>
      </c>
      <c r="F67" s="74">
        <v>5.53</v>
      </c>
      <c r="G67" s="75" t="s">
        <v>159</v>
      </c>
      <c r="H67" s="66">
        <v>45915</v>
      </c>
      <c r="I67" s="204">
        <v>46134</v>
      </c>
      <c r="J67" s="66">
        <f t="shared" si="4"/>
        <v>46005</v>
      </c>
      <c r="K67" s="66">
        <v>46113</v>
      </c>
      <c r="L67" s="66">
        <v>46134</v>
      </c>
      <c r="M67" s="272">
        <v>21</v>
      </c>
      <c r="N67" s="273">
        <f t="shared" si="2"/>
        <v>116.13</v>
      </c>
      <c r="O67" s="78">
        <f t="shared" si="7"/>
        <v>21</v>
      </c>
      <c r="P67" s="79">
        <f t="shared" si="3"/>
        <v>116.13</v>
      </c>
      <c r="Q67" s="274" t="s">
        <v>133</v>
      </c>
      <c r="R67" s="266"/>
      <c r="S67" s="266"/>
      <c r="T67" s="266"/>
      <c r="U67" s="266"/>
      <c r="V67" s="266"/>
      <c r="W67" s="266"/>
    </row>
    <row r="68" s="98" customFormat="1" customHeight="1" spans="1:103">
      <c r="A68" s="27">
        <v>26</v>
      </c>
      <c r="B68" s="27" t="s">
        <v>21</v>
      </c>
      <c r="C68" s="27" t="s">
        <v>22</v>
      </c>
      <c r="D68" s="29">
        <v>1</v>
      </c>
      <c r="E68" s="27" t="s">
        <v>53</v>
      </c>
      <c r="F68" s="28">
        <v>5.53</v>
      </c>
      <c r="G68" s="37" t="s">
        <v>157</v>
      </c>
      <c r="H68" s="30">
        <v>45915</v>
      </c>
      <c r="I68" s="30"/>
      <c r="J68" s="275">
        <f t="shared" si="4"/>
        <v>46005</v>
      </c>
      <c r="K68" s="30">
        <v>46113</v>
      </c>
      <c r="L68" s="30">
        <v>46142</v>
      </c>
      <c r="M68" s="272">
        <v>30</v>
      </c>
      <c r="N68" s="273">
        <f t="shared" si="2"/>
        <v>165.9</v>
      </c>
      <c r="O68" s="276">
        <f t="shared" ref="O68:O77" si="8">L68-K68+1</f>
        <v>30</v>
      </c>
      <c r="P68" s="33">
        <f t="shared" si="3"/>
        <v>165.9</v>
      </c>
      <c r="Q68" s="235"/>
      <c r="R68" s="266"/>
      <c r="S68" s="266"/>
      <c r="T68" s="266"/>
      <c r="U68" s="266"/>
      <c r="V68" s="266"/>
      <c r="W68" s="266"/>
      <c r="X68" s="248"/>
      <c r="Y68" s="248"/>
      <c r="Z68" s="248"/>
      <c r="AA68" s="248"/>
      <c r="AB68" s="248"/>
      <c r="AC68" s="248"/>
      <c r="AD68" s="248"/>
      <c r="AE68" s="248"/>
      <c r="AF68" s="248"/>
      <c r="AG68" s="248"/>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c r="BL68" s="248"/>
      <c r="BM68" s="248"/>
      <c r="BN68" s="248"/>
      <c r="BO68" s="248"/>
      <c r="BP68" s="248"/>
      <c r="BQ68" s="248"/>
      <c r="BR68" s="248"/>
      <c r="BS68" s="248"/>
      <c r="BT68" s="248"/>
      <c r="BU68" s="248"/>
      <c r="BV68" s="248"/>
      <c r="BW68" s="248"/>
      <c r="BX68" s="248"/>
      <c r="BY68" s="248"/>
      <c r="BZ68" s="248"/>
      <c r="CA68" s="248"/>
      <c r="CB68" s="248"/>
      <c r="CC68" s="248"/>
      <c r="CD68" s="248"/>
      <c r="CE68" s="248"/>
      <c r="CF68" s="248"/>
      <c r="CG68" s="248"/>
      <c r="CH68" s="248"/>
      <c r="CI68" s="248"/>
      <c r="CJ68" s="248"/>
      <c r="CK68" s="248"/>
      <c r="CL68" s="248"/>
      <c r="CM68" s="248"/>
      <c r="CN68" s="248"/>
      <c r="CO68" s="248"/>
      <c r="CP68" s="248"/>
      <c r="CQ68" s="248"/>
      <c r="CR68" s="248"/>
      <c r="CS68" s="248"/>
      <c r="CT68" s="248"/>
      <c r="CU68" s="248"/>
      <c r="CV68" s="248"/>
      <c r="CW68" s="248"/>
      <c r="CX68" s="248"/>
      <c r="CY68" s="248"/>
    </row>
    <row r="69" s="248" customFormat="1" customHeight="1" spans="1:103">
      <c r="A69" s="72">
        <v>26</v>
      </c>
      <c r="B69" s="72" t="s">
        <v>21</v>
      </c>
      <c r="C69" s="72" t="s">
        <v>22</v>
      </c>
      <c r="D69" s="73">
        <v>1</v>
      </c>
      <c r="E69" s="72" t="s">
        <v>53</v>
      </c>
      <c r="F69" s="74">
        <v>5.53</v>
      </c>
      <c r="G69" s="75" t="s">
        <v>156</v>
      </c>
      <c r="H69" s="66">
        <v>45915</v>
      </c>
      <c r="I69" s="204">
        <v>46134</v>
      </c>
      <c r="J69" s="66">
        <f t="shared" si="4"/>
        <v>46005</v>
      </c>
      <c r="K69" s="66">
        <v>46113</v>
      </c>
      <c r="L69" s="66">
        <v>46134</v>
      </c>
      <c r="M69" s="272">
        <v>21</v>
      </c>
      <c r="N69" s="273">
        <f t="shared" si="2"/>
        <v>116.13</v>
      </c>
      <c r="O69" s="78">
        <f t="shared" si="7"/>
        <v>21</v>
      </c>
      <c r="P69" s="79">
        <f t="shared" si="3"/>
        <v>116.13</v>
      </c>
      <c r="Q69" s="274" t="s">
        <v>133</v>
      </c>
      <c r="R69" s="266"/>
      <c r="S69" s="266"/>
      <c r="T69" s="266"/>
      <c r="U69" s="266"/>
      <c r="V69" s="266"/>
      <c r="W69" s="266"/>
    </row>
    <row r="70" s="248" customFormat="1" customHeight="1" spans="1:103">
      <c r="A70" s="72">
        <v>26</v>
      </c>
      <c r="B70" s="72" t="s">
        <v>21</v>
      </c>
      <c r="C70" s="72" t="s">
        <v>22</v>
      </c>
      <c r="D70" s="73">
        <v>1</v>
      </c>
      <c r="E70" s="72" t="s">
        <v>53</v>
      </c>
      <c r="F70" s="74">
        <v>5.53</v>
      </c>
      <c r="G70" s="75" t="s">
        <v>155</v>
      </c>
      <c r="H70" s="66">
        <v>45916</v>
      </c>
      <c r="I70" s="204">
        <v>46134</v>
      </c>
      <c r="J70" s="66">
        <f t="shared" si="4"/>
        <v>46006</v>
      </c>
      <c r="K70" s="66">
        <v>46113</v>
      </c>
      <c r="L70" s="66">
        <v>46134</v>
      </c>
      <c r="M70" s="272">
        <v>21</v>
      </c>
      <c r="N70" s="273">
        <f t="shared" si="2"/>
        <v>116.13</v>
      </c>
      <c r="O70" s="78">
        <f t="shared" si="7"/>
        <v>21</v>
      </c>
      <c r="P70" s="79">
        <f t="shared" si="3"/>
        <v>116.13</v>
      </c>
      <c r="Q70" s="274" t="s">
        <v>133</v>
      </c>
      <c r="R70" s="266"/>
      <c r="S70" s="266"/>
      <c r="T70" s="266"/>
      <c r="U70" s="266"/>
      <c r="V70" s="266"/>
      <c r="W70" s="266"/>
    </row>
    <row r="71" s="98" customFormat="1" customHeight="1" spans="1:103">
      <c r="A71" s="27">
        <v>26</v>
      </c>
      <c r="B71" s="27" t="s">
        <v>21</v>
      </c>
      <c r="C71" s="27" t="s">
        <v>22</v>
      </c>
      <c r="D71" s="29">
        <v>1</v>
      </c>
      <c r="E71" s="27" t="s">
        <v>53</v>
      </c>
      <c r="F71" s="28">
        <v>5.53</v>
      </c>
      <c r="G71" s="37" t="s">
        <v>154</v>
      </c>
      <c r="H71" s="30">
        <v>45920</v>
      </c>
      <c r="I71" s="30"/>
      <c r="J71" s="275">
        <f t="shared" si="4"/>
        <v>46010</v>
      </c>
      <c r="K71" s="30">
        <v>46113</v>
      </c>
      <c r="L71" s="30">
        <v>46142</v>
      </c>
      <c r="M71" s="272">
        <v>30</v>
      </c>
      <c r="N71" s="273">
        <f t="shared" si="2"/>
        <v>165.9</v>
      </c>
      <c r="O71" s="276">
        <f t="shared" si="8"/>
        <v>30</v>
      </c>
      <c r="P71" s="33">
        <f t="shared" si="3"/>
        <v>165.9</v>
      </c>
      <c r="Q71" s="235"/>
      <c r="R71" s="266"/>
      <c r="S71" s="266"/>
      <c r="T71" s="266"/>
      <c r="U71" s="266"/>
      <c r="V71" s="266"/>
      <c r="W71" s="266"/>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c r="BN71" s="248"/>
      <c r="BO71" s="248"/>
      <c r="BP71" s="248"/>
      <c r="BQ71" s="248"/>
      <c r="BR71" s="248"/>
      <c r="BS71" s="248"/>
      <c r="BT71" s="248"/>
      <c r="BU71" s="248"/>
      <c r="BV71" s="248"/>
      <c r="BW71" s="248"/>
      <c r="BX71" s="248"/>
      <c r="BY71" s="248"/>
      <c r="BZ71" s="248"/>
      <c r="CA71" s="248"/>
      <c r="CB71" s="248"/>
      <c r="CC71" s="248"/>
      <c r="CD71" s="248"/>
      <c r="CE71" s="248"/>
      <c r="CF71" s="248"/>
      <c r="CG71" s="248"/>
      <c r="CH71" s="248"/>
      <c r="CI71" s="248"/>
      <c r="CJ71" s="248"/>
      <c r="CK71" s="248"/>
      <c r="CL71" s="248"/>
      <c r="CM71" s="248"/>
      <c r="CN71" s="248"/>
      <c r="CO71" s="248"/>
      <c r="CP71" s="248"/>
      <c r="CQ71" s="248"/>
      <c r="CR71" s="248"/>
      <c r="CS71" s="248"/>
      <c r="CT71" s="248"/>
      <c r="CU71" s="248"/>
      <c r="CV71" s="248"/>
      <c r="CW71" s="248"/>
      <c r="CX71" s="248"/>
      <c r="CY71" s="248"/>
    </row>
    <row r="72" s="98" customFormat="1" customHeight="1" spans="1:103">
      <c r="A72" s="27">
        <v>26</v>
      </c>
      <c r="B72" s="27" t="s">
        <v>21</v>
      </c>
      <c r="C72" s="27" t="s">
        <v>22</v>
      </c>
      <c r="D72" s="29">
        <v>1</v>
      </c>
      <c r="E72" s="27" t="s">
        <v>53</v>
      </c>
      <c r="F72" s="28">
        <v>5.53</v>
      </c>
      <c r="G72" s="37" t="s">
        <v>152</v>
      </c>
      <c r="H72" s="30">
        <v>45920</v>
      </c>
      <c r="I72" s="30"/>
      <c r="J72" s="275">
        <f t="shared" si="4"/>
        <v>46010</v>
      </c>
      <c r="K72" s="30">
        <v>46113</v>
      </c>
      <c r="L72" s="30">
        <v>46142</v>
      </c>
      <c r="M72" s="272">
        <v>30</v>
      </c>
      <c r="N72" s="273">
        <f t="shared" si="2"/>
        <v>165.9</v>
      </c>
      <c r="O72" s="276">
        <f t="shared" si="8"/>
        <v>30</v>
      </c>
      <c r="P72" s="33">
        <f t="shared" si="3"/>
        <v>165.9</v>
      </c>
      <c r="Q72" s="235"/>
      <c r="R72" s="266"/>
      <c r="S72" s="266"/>
      <c r="T72" s="266"/>
      <c r="U72" s="266"/>
      <c r="V72" s="266"/>
      <c r="W72" s="266"/>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c r="BN72" s="248"/>
      <c r="BO72" s="248"/>
      <c r="BP72" s="248"/>
      <c r="BQ72" s="248"/>
      <c r="BR72" s="248"/>
      <c r="BS72" s="248"/>
      <c r="BT72" s="248"/>
      <c r="BU72" s="248"/>
      <c r="BV72" s="248"/>
      <c r="BW72" s="248"/>
      <c r="BX72" s="248"/>
      <c r="BY72" s="248"/>
      <c r="BZ72" s="248"/>
      <c r="CA72" s="248"/>
      <c r="CB72" s="248"/>
      <c r="CC72" s="248"/>
      <c r="CD72" s="248"/>
      <c r="CE72" s="248"/>
      <c r="CF72" s="248"/>
      <c r="CG72" s="248"/>
      <c r="CH72" s="248"/>
      <c r="CI72" s="248"/>
      <c r="CJ72" s="248"/>
      <c r="CK72" s="248"/>
      <c r="CL72" s="248"/>
      <c r="CM72" s="248"/>
      <c r="CN72" s="248"/>
      <c r="CO72" s="248"/>
      <c r="CP72" s="248"/>
      <c r="CQ72" s="248"/>
      <c r="CR72" s="248"/>
      <c r="CS72" s="248"/>
      <c r="CT72" s="248"/>
      <c r="CU72" s="248"/>
      <c r="CV72" s="248"/>
      <c r="CW72" s="248"/>
      <c r="CX72" s="248"/>
      <c r="CY72" s="248"/>
    </row>
    <row r="73" s="98" customFormat="1" customHeight="1" spans="1:103">
      <c r="A73" s="27">
        <v>26</v>
      </c>
      <c r="B73" s="27" t="s">
        <v>21</v>
      </c>
      <c r="C73" s="27" t="s">
        <v>22</v>
      </c>
      <c r="D73" s="29">
        <v>1</v>
      </c>
      <c r="E73" s="27" t="s">
        <v>53</v>
      </c>
      <c r="F73" s="28">
        <v>5.53</v>
      </c>
      <c r="G73" s="37" t="s">
        <v>153</v>
      </c>
      <c r="H73" s="30">
        <v>45920</v>
      </c>
      <c r="I73" s="30"/>
      <c r="J73" s="275">
        <f t="shared" si="4"/>
        <v>46010</v>
      </c>
      <c r="K73" s="30">
        <v>46113</v>
      </c>
      <c r="L73" s="30">
        <v>46142</v>
      </c>
      <c r="M73" s="272">
        <v>30</v>
      </c>
      <c r="N73" s="273">
        <f t="shared" si="2"/>
        <v>165.9</v>
      </c>
      <c r="O73" s="276">
        <f t="shared" si="8"/>
        <v>30</v>
      </c>
      <c r="P73" s="33">
        <f t="shared" si="3"/>
        <v>165.9</v>
      </c>
      <c r="Q73" s="235"/>
      <c r="R73" s="266"/>
      <c r="S73" s="266"/>
      <c r="T73" s="266"/>
      <c r="U73" s="266"/>
      <c r="V73" s="266"/>
      <c r="W73" s="266"/>
      <c r="X73" s="248"/>
      <c r="Y73" s="248"/>
      <c r="Z73" s="248"/>
      <c r="AA73" s="248"/>
      <c r="AB73" s="248"/>
      <c r="AC73" s="248"/>
      <c r="AD73" s="248"/>
      <c r="AE73" s="248"/>
      <c r="AF73" s="248"/>
      <c r="AG73" s="248"/>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c r="BH73" s="248"/>
      <c r="BI73" s="248"/>
      <c r="BJ73" s="248"/>
      <c r="BK73" s="248"/>
      <c r="BL73" s="248"/>
      <c r="BM73" s="248"/>
      <c r="BN73" s="248"/>
      <c r="BO73" s="248"/>
      <c r="BP73" s="248"/>
      <c r="BQ73" s="248"/>
      <c r="BR73" s="248"/>
      <c r="BS73" s="248"/>
      <c r="BT73" s="248"/>
      <c r="BU73" s="248"/>
      <c r="BV73" s="248"/>
      <c r="BW73" s="248"/>
      <c r="BX73" s="248"/>
      <c r="BY73" s="248"/>
      <c r="BZ73" s="248"/>
      <c r="CA73" s="248"/>
      <c r="CB73" s="248"/>
      <c r="CC73" s="248"/>
      <c r="CD73" s="248"/>
      <c r="CE73" s="248"/>
      <c r="CF73" s="248"/>
      <c r="CG73" s="248"/>
      <c r="CH73" s="248"/>
      <c r="CI73" s="248"/>
      <c r="CJ73" s="248"/>
      <c r="CK73" s="248"/>
      <c r="CL73" s="248"/>
      <c r="CM73" s="248"/>
      <c r="CN73" s="248"/>
      <c r="CO73" s="248"/>
      <c r="CP73" s="248"/>
      <c r="CQ73" s="248"/>
      <c r="CR73" s="248"/>
      <c r="CS73" s="248"/>
      <c r="CT73" s="248"/>
      <c r="CU73" s="248"/>
      <c r="CV73" s="248"/>
      <c r="CW73" s="248"/>
      <c r="CX73" s="248"/>
      <c r="CY73" s="248"/>
    </row>
    <row r="74" s="98" customFormat="1" customHeight="1" spans="1:103">
      <c r="A74" s="27">
        <v>26</v>
      </c>
      <c r="B74" s="27" t="s">
        <v>21</v>
      </c>
      <c r="C74" s="27" t="s">
        <v>22</v>
      </c>
      <c r="D74" s="29">
        <v>1</v>
      </c>
      <c r="E74" s="27" t="s">
        <v>53</v>
      </c>
      <c r="F74" s="28">
        <v>5.53</v>
      </c>
      <c r="G74" s="37" t="s">
        <v>149</v>
      </c>
      <c r="H74" s="30">
        <v>45920</v>
      </c>
      <c r="I74" s="30"/>
      <c r="J74" s="275">
        <f t="shared" si="4"/>
        <v>46010</v>
      </c>
      <c r="K74" s="30">
        <v>46113</v>
      </c>
      <c r="L74" s="30">
        <v>46142</v>
      </c>
      <c r="M74" s="272">
        <v>30</v>
      </c>
      <c r="N74" s="273">
        <f t="shared" si="2"/>
        <v>165.9</v>
      </c>
      <c r="O74" s="276">
        <f t="shared" si="8"/>
        <v>30</v>
      </c>
      <c r="P74" s="33">
        <f t="shared" si="3"/>
        <v>165.9</v>
      </c>
      <c r="Q74" s="235"/>
      <c r="R74" s="266"/>
      <c r="S74" s="266"/>
      <c r="T74" s="266"/>
      <c r="U74" s="266"/>
      <c r="V74" s="266"/>
      <c r="W74" s="266"/>
      <c r="X74" s="248"/>
      <c r="Y74" s="248"/>
      <c r="Z74" s="248"/>
      <c r="AA74" s="248"/>
      <c r="AB74" s="248"/>
      <c r="AC74" s="248"/>
      <c r="AD74" s="248"/>
      <c r="AE74" s="248"/>
      <c r="AF74" s="248"/>
      <c r="AG74" s="248"/>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c r="BK74" s="248"/>
      <c r="BL74" s="248"/>
      <c r="BM74" s="248"/>
      <c r="BN74" s="248"/>
      <c r="BO74" s="248"/>
      <c r="BP74" s="248"/>
      <c r="BQ74" s="248"/>
      <c r="BR74" s="248"/>
      <c r="BS74" s="248"/>
      <c r="BT74" s="248"/>
      <c r="BU74" s="248"/>
      <c r="BV74" s="248"/>
      <c r="BW74" s="248"/>
      <c r="BX74" s="248"/>
      <c r="BY74" s="248"/>
      <c r="BZ74" s="248"/>
      <c r="CA74" s="248"/>
      <c r="CB74" s="248"/>
      <c r="CC74" s="248"/>
      <c r="CD74" s="248"/>
      <c r="CE74" s="248"/>
      <c r="CF74" s="248"/>
      <c r="CG74" s="248"/>
      <c r="CH74" s="248"/>
      <c r="CI74" s="248"/>
      <c r="CJ74" s="248"/>
      <c r="CK74" s="248"/>
      <c r="CL74" s="248"/>
      <c r="CM74" s="248"/>
      <c r="CN74" s="248"/>
      <c r="CO74" s="248"/>
      <c r="CP74" s="248"/>
      <c r="CQ74" s="248"/>
      <c r="CR74" s="248"/>
      <c r="CS74" s="248"/>
      <c r="CT74" s="248"/>
      <c r="CU74" s="248"/>
      <c r="CV74" s="248"/>
      <c r="CW74" s="248"/>
      <c r="CX74" s="248"/>
      <c r="CY74" s="248"/>
    </row>
    <row r="75" s="98" customFormat="1" customHeight="1" spans="1:103">
      <c r="A75" s="27">
        <v>26</v>
      </c>
      <c r="B75" s="27" t="s">
        <v>21</v>
      </c>
      <c r="C75" s="27" t="s">
        <v>22</v>
      </c>
      <c r="D75" s="29">
        <v>1</v>
      </c>
      <c r="E75" s="27" t="s">
        <v>53</v>
      </c>
      <c r="F75" s="28">
        <v>5.53</v>
      </c>
      <c r="G75" s="37" t="s">
        <v>150</v>
      </c>
      <c r="H75" s="30">
        <v>45920</v>
      </c>
      <c r="I75" s="30"/>
      <c r="J75" s="275">
        <f t="shared" si="4"/>
        <v>46010</v>
      </c>
      <c r="K75" s="30">
        <v>46113</v>
      </c>
      <c r="L75" s="30">
        <v>46142</v>
      </c>
      <c r="M75" s="272">
        <v>30</v>
      </c>
      <c r="N75" s="273">
        <f t="shared" si="2"/>
        <v>165.9</v>
      </c>
      <c r="O75" s="276">
        <f t="shared" si="8"/>
        <v>30</v>
      </c>
      <c r="P75" s="33">
        <f t="shared" si="3"/>
        <v>165.9</v>
      </c>
      <c r="Q75" s="235"/>
      <c r="R75" s="266"/>
      <c r="S75" s="266"/>
      <c r="T75" s="266"/>
      <c r="U75" s="266"/>
      <c r="V75" s="266"/>
      <c r="W75" s="266"/>
      <c r="X75" s="248"/>
      <c r="Y75" s="248"/>
      <c r="Z75" s="248"/>
      <c r="AA75" s="248"/>
      <c r="AB75" s="248"/>
      <c r="AC75" s="248"/>
      <c r="AD75" s="248"/>
      <c r="AE75" s="248"/>
      <c r="AF75" s="248"/>
      <c r="AG75" s="248"/>
      <c r="AH75" s="248"/>
      <c r="AI75" s="248"/>
      <c r="AJ75" s="248"/>
      <c r="AK75" s="248"/>
      <c r="AL75" s="248"/>
      <c r="AM75" s="248"/>
      <c r="AN75" s="248"/>
      <c r="AO75" s="248"/>
      <c r="AP75" s="248"/>
      <c r="AQ75" s="248"/>
      <c r="AR75" s="248"/>
      <c r="AS75" s="248"/>
      <c r="AT75" s="248"/>
      <c r="AU75" s="248"/>
      <c r="AV75" s="248"/>
      <c r="AW75" s="248"/>
      <c r="AX75" s="248"/>
      <c r="AY75" s="248"/>
      <c r="AZ75" s="248"/>
      <c r="BA75" s="248"/>
      <c r="BB75" s="248"/>
      <c r="BC75" s="248"/>
      <c r="BD75" s="248"/>
      <c r="BE75" s="248"/>
      <c r="BF75" s="248"/>
      <c r="BG75" s="248"/>
      <c r="BH75" s="248"/>
      <c r="BI75" s="248"/>
      <c r="BJ75" s="248"/>
      <c r="BK75" s="248"/>
      <c r="BL75" s="248"/>
      <c r="BM75" s="248"/>
      <c r="BN75" s="248"/>
      <c r="BO75" s="248"/>
      <c r="BP75" s="248"/>
      <c r="BQ75" s="248"/>
      <c r="BR75" s="248"/>
      <c r="BS75" s="248"/>
      <c r="BT75" s="248"/>
      <c r="BU75" s="248"/>
      <c r="BV75" s="248"/>
      <c r="BW75" s="248"/>
      <c r="BX75" s="248"/>
      <c r="BY75" s="248"/>
      <c r="BZ75" s="248"/>
      <c r="CA75" s="248"/>
      <c r="CB75" s="248"/>
      <c r="CC75" s="248"/>
      <c r="CD75" s="248"/>
      <c r="CE75" s="248"/>
      <c r="CF75" s="248"/>
      <c r="CG75" s="248"/>
      <c r="CH75" s="248"/>
      <c r="CI75" s="248"/>
      <c r="CJ75" s="248"/>
      <c r="CK75" s="248"/>
      <c r="CL75" s="248"/>
      <c r="CM75" s="248"/>
      <c r="CN75" s="248"/>
      <c r="CO75" s="248"/>
      <c r="CP75" s="248"/>
      <c r="CQ75" s="248"/>
      <c r="CR75" s="248"/>
      <c r="CS75" s="248"/>
      <c r="CT75" s="248"/>
      <c r="CU75" s="248"/>
      <c r="CV75" s="248"/>
      <c r="CW75" s="248"/>
      <c r="CX75" s="248"/>
      <c r="CY75" s="248"/>
    </row>
    <row r="76" s="98" customFormat="1" customHeight="1" spans="1:103">
      <c r="A76" s="27">
        <v>26</v>
      </c>
      <c r="B76" s="27" t="s">
        <v>21</v>
      </c>
      <c r="C76" s="27" t="s">
        <v>22</v>
      </c>
      <c r="D76" s="29">
        <v>1</v>
      </c>
      <c r="E76" s="27" t="s">
        <v>53</v>
      </c>
      <c r="F76" s="28">
        <v>5.53</v>
      </c>
      <c r="G76" s="37" t="s">
        <v>151</v>
      </c>
      <c r="H76" s="30">
        <v>45920</v>
      </c>
      <c r="I76" s="30"/>
      <c r="J76" s="275">
        <f t="shared" si="4"/>
        <v>46010</v>
      </c>
      <c r="K76" s="30">
        <v>46113</v>
      </c>
      <c r="L76" s="30">
        <v>46142</v>
      </c>
      <c r="M76" s="272">
        <v>30</v>
      </c>
      <c r="N76" s="273">
        <f t="shared" si="2"/>
        <v>165.9</v>
      </c>
      <c r="O76" s="276">
        <f t="shared" si="8"/>
        <v>30</v>
      </c>
      <c r="P76" s="33">
        <f t="shared" si="3"/>
        <v>165.9</v>
      </c>
      <c r="Q76" s="235"/>
      <c r="R76" s="266"/>
      <c r="S76" s="266"/>
      <c r="T76" s="266"/>
      <c r="U76" s="266"/>
      <c r="V76" s="266"/>
      <c r="W76" s="266"/>
      <c r="X76" s="248"/>
      <c r="Y76" s="248"/>
      <c r="Z76" s="248"/>
      <c r="AA76" s="248"/>
      <c r="AB76" s="248"/>
      <c r="AC76" s="248"/>
      <c r="AD76" s="248"/>
      <c r="AE76" s="248"/>
      <c r="AF76" s="248"/>
      <c r="AG76" s="248"/>
      <c r="AH76" s="248"/>
      <c r="AI76" s="248"/>
      <c r="AJ76" s="248"/>
      <c r="AK76" s="248"/>
      <c r="AL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c r="BH76" s="248"/>
      <c r="BI76" s="248"/>
      <c r="BJ76" s="248"/>
      <c r="BK76" s="248"/>
      <c r="BL76" s="248"/>
      <c r="BM76" s="248"/>
      <c r="BN76" s="248"/>
      <c r="BO76" s="248"/>
      <c r="BP76" s="248"/>
      <c r="BQ76" s="248"/>
      <c r="BR76" s="248"/>
      <c r="BS76" s="248"/>
      <c r="BT76" s="248"/>
      <c r="BU76" s="248"/>
      <c r="BV76" s="248"/>
      <c r="BW76" s="248"/>
      <c r="BX76" s="248"/>
      <c r="BY76" s="248"/>
      <c r="BZ76" s="248"/>
      <c r="CA76" s="248"/>
      <c r="CB76" s="248"/>
      <c r="CC76" s="248"/>
      <c r="CD76" s="248"/>
      <c r="CE76" s="248"/>
      <c r="CF76" s="248"/>
      <c r="CG76" s="248"/>
      <c r="CH76" s="248"/>
      <c r="CI76" s="248"/>
      <c r="CJ76" s="248"/>
      <c r="CK76" s="248"/>
      <c r="CL76" s="248"/>
      <c r="CM76" s="248"/>
      <c r="CN76" s="248"/>
      <c r="CO76" s="248"/>
      <c r="CP76" s="248"/>
      <c r="CQ76" s="248"/>
      <c r="CR76" s="248"/>
      <c r="CS76" s="248"/>
      <c r="CT76" s="248"/>
      <c r="CU76" s="248"/>
      <c r="CV76" s="248"/>
      <c r="CW76" s="248"/>
      <c r="CX76" s="248"/>
      <c r="CY76" s="248"/>
    </row>
    <row r="77" s="98" customFormat="1" customHeight="1" spans="1:103">
      <c r="A77" s="27">
        <v>26</v>
      </c>
      <c r="B77" s="27" t="s">
        <v>21</v>
      </c>
      <c r="C77" s="27" t="s">
        <v>22</v>
      </c>
      <c r="D77" s="29">
        <v>1</v>
      </c>
      <c r="E77" s="27" t="s">
        <v>53</v>
      </c>
      <c r="F77" s="28">
        <v>5.53</v>
      </c>
      <c r="G77" s="37" t="s">
        <v>148</v>
      </c>
      <c r="H77" s="30">
        <v>45922</v>
      </c>
      <c r="I77" s="30"/>
      <c r="J77" s="275">
        <f t="shared" si="4"/>
        <v>46012</v>
      </c>
      <c r="K77" s="30">
        <v>46113</v>
      </c>
      <c r="L77" s="30">
        <v>46142</v>
      </c>
      <c r="M77" s="272">
        <v>30</v>
      </c>
      <c r="N77" s="273">
        <f t="shared" si="2"/>
        <v>165.9</v>
      </c>
      <c r="O77" s="276">
        <f t="shared" si="8"/>
        <v>30</v>
      </c>
      <c r="P77" s="33">
        <f t="shared" si="3"/>
        <v>165.9</v>
      </c>
      <c r="Q77" s="235"/>
      <c r="R77" s="266"/>
      <c r="S77" s="266"/>
      <c r="T77" s="266"/>
      <c r="U77" s="266"/>
      <c r="V77" s="266"/>
      <c r="W77" s="266"/>
      <c r="X77" s="248"/>
      <c r="Y77" s="248"/>
      <c r="Z77" s="248"/>
      <c r="AA77" s="248"/>
      <c r="AB77" s="248"/>
      <c r="AC77" s="248"/>
      <c r="AD77" s="248"/>
      <c r="AE77" s="248"/>
      <c r="AF77" s="248"/>
      <c r="AG77" s="248"/>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c r="BK77" s="248"/>
      <c r="BL77" s="248"/>
      <c r="BM77" s="248"/>
      <c r="BN77" s="248"/>
      <c r="BO77" s="248"/>
      <c r="BP77" s="248"/>
      <c r="BQ77" s="248"/>
      <c r="BR77" s="248"/>
      <c r="BS77" s="248"/>
      <c r="BT77" s="248"/>
      <c r="BU77" s="248"/>
      <c r="BV77" s="248"/>
      <c r="BW77" s="248"/>
      <c r="BX77" s="248"/>
      <c r="BY77" s="248"/>
      <c r="BZ77" s="248"/>
      <c r="CA77" s="248"/>
      <c r="CB77" s="248"/>
      <c r="CC77" s="248"/>
      <c r="CD77" s="248"/>
      <c r="CE77" s="248"/>
      <c r="CF77" s="248"/>
      <c r="CG77" s="248"/>
      <c r="CH77" s="248"/>
      <c r="CI77" s="248"/>
      <c r="CJ77" s="248"/>
      <c r="CK77" s="248"/>
      <c r="CL77" s="248"/>
      <c r="CM77" s="248"/>
      <c r="CN77" s="248"/>
      <c r="CO77" s="248"/>
      <c r="CP77" s="248"/>
      <c r="CQ77" s="248"/>
      <c r="CR77" s="248"/>
      <c r="CS77" s="248"/>
      <c r="CT77" s="248"/>
      <c r="CU77" s="248"/>
      <c r="CV77" s="248"/>
      <c r="CW77" s="248"/>
      <c r="CX77" s="248"/>
      <c r="CY77" s="248"/>
    </row>
    <row r="78" s="98" customFormat="1" customHeight="1" spans="1:103">
      <c r="A78" s="27">
        <v>26</v>
      </c>
      <c r="B78" s="27" t="s">
        <v>21</v>
      </c>
      <c r="C78" s="27" t="s">
        <v>22</v>
      </c>
      <c r="D78" s="29">
        <v>1</v>
      </c>
      <c r="E78" s="27" t="s">
        <v>53</v>
      </c>
      <c r="F78" s="28">
        <v>5.53</v>
      </c>
      <c r="G78" s="37" t="s">
        <v>181</v>
      </c>
      <c r="H78" s="30">
        <v>46093</v>
      </c>
      <c r="I78" s="30"/>
      <c r="J78" s="275">
        <f t="shared" si="4"/>
        <v>46183</v>
      </c>
      <c r="K78" s="30">
        <v>46113</v>
      </c>
      <c r="L78" s="30">
        <v>46142</v>
      </c>
      <c r="M78" s="272">
        <v>30</v>
      </c>
      <c r="N78" s="273">
        <f t="shared" si="2"/>
        <v>165.9</v>
      </c>
      <c r="O78" s="276">
        <v>0</v>
      </c>
      <c r="P78" s="33">
        <f t="shared" si="3"/>
        <v>0</v>
      </c>
      <c r="Q78" s="235"/>
      <c r="R78" s="266"/>
      <c r="S78" s="266"/>
      <c r="T78" s="266"/>
      <c r="U78" s="266"/>
      <c r="V78" s="266"/>
      <c r="W78" s="266"/>
      <c r="X78" s="248"/>
      <c r="Y78" s="248"/>
      <c r="Z78" s="248"/>
      <c r="AA78" s="248"/>
      <c r="AB78" s="248"/>
      <c r="AC78" s="248"/>
      <c r="AD78" s="248"/>
      <c r="AE78" s="248"/>
      <c r="AF78" s="248"/>
      <c r="AG78" s="248"/>
      <c r="AH78" s="248"/>
      <c r="AI78" s="248"/>
      <c r="AJ78" s="248"/>
      <c r="AK78" s="248"/>
      <c r="AL78" s="248"/>
      <c r="AM78" s="248"/>
      <c r="AN78" s="248"/>
      <c r="AO78" s="248"/>
      <c r="AP78" s="248"/>
      <c r="AQ78" s="248"/>
      <c r="AR78" s="248"/>
      <c r="AS78" s="248"/>
      <c r="AT78" s="248"/>
      <c r="AU78" s="248"/>
      <c r="AV78" s="248"/>
      <c r="AW78" s="248"/>
      <c r="AX78" s="248"/>
      <c r="AY78" s="248"/>
      <c r="AZ78" s="248"/>
      <c r="BA78" s="248"/>
      <c r="BB78" s="248"/>
      <c r="BC78" s="248"/>
      <c r="BD78" s="248"/>
      <c r="BE78" s="248"/>
      <c r="BF78" s="248"/>
      <c r="BG78" s="248"/>
      <c r="BH78" s="248"/>
      <c r="BI78" s="248"/>
      <c r="BJ78" s="248"/>
      <c r="BK78" s="248"/>
      <c r="BL78" s="248"/>
      <c r="BM78" s="248"/>
      <c r="BN78" s="248"/>
      <c r="BO78" s="248"/>
      <c r="BP78" s="248"/>
      <c r="BQ78" s="248"/>
      <c r="BR78" s="248"/>
      <c r="BS78" s="248"/>
      <c r="BT78" s="248"/>
      <c r="BU78" s="248"/>
      <c r="BV78" s="248"/>
      <c r="BW78" s="248"/>
      <c r="BX78" s="248"/>
      <c r="BY78" s="248"/>
      <c r="BZ78" s="248"/>
      <c r="CA78" s="248"/>
      <c r="CB78" s="248"/>
      <c r="CC78" s="248"/>
      <c r="CD78" s="248"/>
      <c r="CE78" s="248"/>
      <c r="CF78" s="248"/>
      <c r="CG78" s="248"/>
      <c r="CH78" s="248"/>
      <c r="CI78" s="248"/>
      <c r="CJ78" s="248"/>
      <c r="CK78" s="248"/>
      <c r="CL78" s="248"/>
      <c r="CM78" s="248"/>
      <c r="CN78" s="248"/>
      <c r="CO78" s="248"/>
      <c r="CP78" s="248"/>
      <c r="CQ78" s="248"/>
      <c r="CR78" s="248"/>
      <c r="CS78" s="248"/>
      <c r="CT78" s="248"/>
      <c r="CU78" s="248"/>
      <c r="CV78" s="248"/>
      <c r="CW78" s="248"/>
      <c r="CX78" s="248"/>
      <c r="CY78" s="248"/>
    </row>
    <row r="79" s="98" customFormat="1" customHeight="1" spans="1:103">
      <c r="A79" s="27">
        <v>26</v>
      </c>
      <c r="B79" s="27" t="s">
        <v>21</v>
      </c>
      <c r="C79" s="27" t="s">
        <v>22</v>
      </c>
      <c r="D79" s="29">
        <v>1</v>
      </c>
      <c r="E79" s="27" t="s">
        <v>53</v>
      </c>
      <c r="F79" s="28">
        <v>5.53</v>
      </c>
      <c r="G79" s="37" t="s">
        <v>182</v>
      </c>
      <c r="H79" s="30">
        <v>46093</v>
      </c>
      <c r="I79" s="30"/>
      <c r="J79" s="275">
        <f t="shared" si="4"/>
        <v>46183</v>
      </c>
      <c r="K79" s="30">
        <v>46113</v>
      </c>
      <c r="L79" s="30">
        <v>46142</v>
      </c>
      <c r="M79" s="272">
        <v>30</v>
      </c>
      <c r="N79" s="273">
        <f t="shared" si="2"/>
        <v>165.9</v>
      </c>
      <c r="O79" s="276">
        <v>0</v>
      </c>
      <c r="P79" s="33">
        <f t="shared" si="3"/>
        <v>0</v>
      </c>
      <c r="Q79" s="235"/>
      <c r="R79" s="266"/>
      <c r="S79" s="266"/>
      <c r="T79" s="266"/>
      <c r="U79" s="266"/>
      <c r="V79" s="266"/>
      <c r="W79" s="266"/>
      <c r="X79" s="248"/>
      <c r="Y79" s="248"/>
      <c r="Z79" s="248"/>
      <c r="AA79" s="248"/>
      <c r="AB79" s="248"/>
      <c r="AC79" s="248"/>
      <c r="AD79" s="248"/>
      <c r="AE79" s="248"/>
      <c r="AF79" s="248"/>
      <c r="AG79" s="248"/>
      <c r="AH79" s="248"/>
      <c r="AI79" s="248"/>
      <c r="AJ79" s="248"/>
      <c r="AK79" s="248"/>
      <c r="AL79" s="248"/>
      <c r="AM79" s="248"/>
      <c r="AN79" s="248"/>
      <c r="AO79" s="248"/>
      <c r="AP79" s="248"/>
      <c r="AQ79" s="248"/>
      <c r="AR79" s="248"/>
      <c r="AS79" s="248"/>
      <c r="AT79" s="248"/>
      <c r="AU79" s="248"/>
      <c r="AV79" s="248"/>
      <c r="AW79" s="248"/>
      <c r="AX79" s="248"/>
      <c r="AY79" s="248"/>
      <c r="AZ79" s="248"/>
      <c r="BA79" s="248"/>
      <c r="BB79" s="248"/>
      <c r="BC79" s="248"/>
      <c r="BD79" s="248"/>
      <c r="BE79" s="248"/>
      <c r="BF79" s="248"/>
      <c r="BG79" s="248"/>
      <c r="BH79" s="248"/>
      <c r="BI79" s="248"/>
      <c r="BJ79" s="248"/>
      <c r="BK79" s="248"/>
      <c r="BL79" s="248"/>
      <c r="BM79" s="248"/>
      <c r="BN79" s="248"/>
      <c r="BO79" s="248"/>
      <c r="BP79" s="248"/>
      <c r="BQ79" s="248"/>
      <c r="BR79" s="248"/>
      <c r="BS79" s="248"/>
      <c r="BT79" s="248"/>
      <c r="BU79" s="248"/>
      <c r="BV79" s="248"/>
      <c r="BW79" s="248"/>
      <c r="BX79" s="248"/>
      <c r="BY79" s="248"/>
      <c r="BZ79" s="248"/>
      <c r="CA79" s="248"/>
      <c r="CB79" s="248"/>
      <c r="CC79" s="248"/>
      <c r="CD79" s="248"/>
      <c r="CE79" s="248"/>
      <c r="CF79" s="248"/>
      <c r="CG79" s="248"/>
      <c r="CH79" s="248"/>
      <c r="CI79" s="248"/>
      <c r="CJ79" s="248"/>
      <c r="CK79" s="248"/>
      <c r="CL79" s="248"/>
      <c r="CM79" s="248"/>
      <c r="CN79" s="248"/>
      <c r="CO79" s="248"/>
      <c r="CP79" s="248"/>
      <c r="CQ79" s="248"/>
      <c r="CR79" s="248"/>
      <c r="CS79" s="248"/>
      <c r="CT79" s="248"/>
      <c r="CU79" s="248"/>
      <c r="CV79" s="248"/>
      <c r="CW79" s="248"/>
      <c r="CX79" s="248"/>
      <c r="CY79" s="248"/>
    </row>
    <row r="80" s="98" customFormat="1" customHeight="1" spans="1:103">
      <c r="A80" s="27">
        <v>26</v>
      </c>
      <c r="B80" s="27" t="s">
        <v>21</v>
      </c>
      <c r="C80" s="27" t="s">
        <v>22</v>
      </c>
      <c r="D80" s="29">
        <v>1</v>
      </c>
      <c r="E80" s="27" t="s">
        <v>53</v>
      </c>
      <c r="F80" s="28">
        <v>5.53</v>
      </c>
      <c r="G80" s="37" t="s">
        <v>183</v>
      </c>
      <c r="H80" s="30">
        <v>46093</v>
      </c>
      <c r="I80" s="30"/>
      <c r="J80" s="275">
        <f t="shared" si="4"/>
        <v>46183</v>
      </c>
      <c r="K80" s="30">
        <v>46113</v>
      </c>
      <c r="L80" s="30">
        <v>46142</v>
      </c>
      <c r="M80" s="272">
        <v>30</v>
      </c>
      <c r="N80" s="273">
        <f t="shared" si="2"/>
        <v>165.9</v>
      </c>
      <c r="O80" s="276">
        <v>0</v>
      </c>
      <c r="P80" s="33">
        <f t="shared" si="3"/>
        <v>0</v>
      </c>
      <c r="Q80" s="235"/>
      <c r="R80" s="266"/>
      <c r="S80" s="266"/>
      <c r="T80" s="266"/>
      <c r="U80" s="266"/>
      <c r="V80" s="266"/>
      <c r="W80" s="266"/>
      <c r="X80" s="248"/>
      <c r="Y80" s="248"/>
      <c r="Z80" s="248"/>
      <c r="AA80" s="248"/>
      <c r="AB80" s="248"/>
      <c r="AC80" s="248"/>
      <c r="AD80" s="248"/>
      <c r="AE80" s="248"/>
      <c r="AF80" s="248"/>
      <c r="AG80" s="248"/>
      <c r="AH80" s="248"/>
      <c r="AI80" s="248"/>
      <c r="AJ80" s="248"/>
      <c r="AK80" s="248"/>
      <c r="AL80" s="248"/>
      <c r="AM80" s="248"/>
      <c r="AN80" s="248"/>
      <c r="AO80" s="248"/>
      <c r="AP80" s="248"/>
      <c r="AQ80" s="248"/>
      <c r="AR80" s="248"/>
      <c r="AS80" s="248"/>
      <c r="AT80" s="248"/>
      <c r="AU80" s="248"/>
      <c r="AV80" s="248"/>
      <c r="AW80" s="248"/>
      <c r="AX80" s="248"/>
      <c r="AY80" s="248"/>
      <c r="AZ80" s="248"/>
      <c r="BA80" s="248"/>
      <c r="BB80" s="248"/>
      <c r="BC80" s="248"/>
      <c r="BD80" s="248"/>
      <c r="BE80" s="248"/>
      <c r="BF80" s="248"/>
      <c r="BG80" s="248"/>
      <c r="BH80" s="248"/>
      <c r="BI80" s="248"/>
      <c r="BJ80" s="248"/>
      <c r="BK80" s="248"/>
      <c r="BL80" s="248"/>
      <c r="BM80" s="248"/>
      <c r="BN80" s="248"/>
      <c r="BO80" s="248"/>
      <c r="BP80" s="248"/>
      <c r="BQ80" s="248"/>
      <c r="BR80" s="248"/>
      <c r="BS80" s="248"/>
      <c r="BT80" s="248"/>
      <c r="BU80" s="248"/>
      <c r="BV80" s="248"/>
      <c r="BW80" s="248"/>
      <c r="BX80" s="248"/>
      <c r="BY80" s="248"/>
      <c r="BZ80" s="248"/>
      <c r="CA80" s="248"/>
      <c r="CB80" s="248"/>
      <c r="CC80" s="248"/>
      <c r="CD80" s="248"/>
      <c r="CE80" s="248"/>
      <c r="CF80" s="248"/>
      <c r="CG80" s="248"/>
      <c r="CH80" s="248"/>
      <c r="CI80" s="248"/>
      <c r="CJ80" s="248"/>
      <c r="CK80" s="248"/>
      <c r="CL80" s="248"/>
      <c r="CM80" s="248"/>
      <c r="CN80" s="248"/>
      <c r="CO80" s="248"/>
      <c r="CP80" s="248"/>
      <c r="CQ80" s="248"/>
      <c r="CR80" s="248"/>
      <c r="CS80" s="248"/>
      <c r="CT80" s="248"/>
      <c r="CU80" s="248"/>
      <c r="CV80" s="248"/>
      <c r="CW80" s="248"/>
      <c r="CX80" s="248"/>
      <c r="CY80" s="248"/>
    </row>
    <row r="81" s="98" customFormat="1" customHeight="1" spans="1:103">
      <c r="A81" s="27">
        <v>26</v>
      </c>
      <c r="B81" s="27" t="s">
        <v>21</v>
      </c>
      <c r="C81" s="27" t="s">
        <v>22</v>
      </c>
      <c r="D81" s="29">
        <v>1</v>
      </c>
      <c r="E81" s="27" t="s">
        <v>53</v>
      </c>
      <c r="F81" s="28">
        <v>5.53</v>
      </c>
      <c r="G81" s="37" t="s">
        <v>184</v>
      </c>
      <c r="H81" s="30">
        <v>46093</v>
      </c>
      <c r="I81" s="30"/>
      <c r="J81" s="275">
        <f t="shared" si="4"/>
        <v>46183</v>
      </c>
      <c r="K81" s="30">
        <v>46113</v>
      </c>
      <c r="L81" s="30">
        <v>46142</v>
      </c>
      <c r="M81" s="272">
        <v>30</v>
      </c>
      <c r="N81" s="273">
        <f t="shared" si="2"/>
        <v>165.9</v>
      </c>
      <c r="O81" s="276">
        <v>0</v>
      </c>
      <c r="P81" s="33">
        <f t="shared" si="3"/>
        <v>0</v>
      </c>
      <c r="Q81" s="235"/>
      <c r="R81" s="266"/>
      <c r="S81" s="266"/>
      <c r="T81" s="266"/>
      <c r="U81" s="266"/>
      <c r="V81" s="266"/>
      <c r="W81" s="266"/>
      <c r="X81" s="248"/>
      <c r="Y81" s="248"/>
      <c r="Z81" s="248"/>
      <c r="AA81" s="248"/>
      <c r="AB81" s="248"/>
      <c r="AC81" s="248"/>
      <c r="AD81" s="248"/>
      <c r="AE81" s="248"/>
      <c r="AF81" s="248"/>
      <c r="AG81" s="248"/>
      <c r="AH81" s="248"/>
      <c r="AI81" s="248"/>
      <c r="AJ81" s="248"/>
      <c r="AK81" s="248"/>
      <c r="AL81" s="248"/>
      <c r="AM81" s="248"/>
      <c r="AN81" s="248"/>
      <c r="AO81" s="248"/>
      <c r="AP81" s="248"/>
      <c r="AQ81" s="248"/>
      <c r="AR81" s="248"/>
      <c r="AS81" s="248"/>
      <c r="AT81" s="248"/>
      <c r="AU81" s="248"/>
      <c r="AV81" s="248"/>
      <c r="AW81" s="248"/>
      <c r="AX81" s="248"/>
      <c r="AY81" s="248"/>
      <c r="AZ81" s="248"/>
      <c r="BA81" s="248"/>
      <c r="BB81" s="248"/>
      <c r="BC81" s="248"/>
      <c r="BD81" s="248"/>
      <c r="BE81" s="248"/>
      <c r="BF81" s="248"/>
      <c r="BG81" s="248"/>
      <c r="BH81" s="248"/>
      <c r="BI81" s="248"/>
      <c r="BJ81" s="248"/>
      <c r="BK81" s="248"/>
      <c r="BL81" s="248"/>
      <c r="BM81" s="248"/>
      <c r="BN81" s="248"/>
      <c r="BO81" s="248"/>
      <c r="BP81" s="248"/>
      <c r="BQ81" s="248"/>
      <c r="BR81" s="248"/>
      <c r="BS81" s="248"/>
      <c r="BT81" s="248"/>
      <c r="BU81" s="248"/>
      <c r="BV81" s="248"/>
      <c r="BW81" s="248"/>
      <c r="BX81" s="248"/>
      <c r="BY81" s="248"/>
      <c r="BZ81" s="248"/>
      <c r="CA81" s="248"/>
      <c r="CB81" s="248"/>
      <c r="CC81" s="248"/>
      <c r="CD81" s="248"/>
      <c r="CE81" s="248"/>
      <c r="CF81" s="248"/>
      <c r="CG81" s="248"/>
      <c r="CH81" s="248"/>
      <c r="CI81" s="248"/>
      <c r="CJ81" s="248"/>
      <c r="CK81" s="248"/>
      <c r="CL81" s="248"/>
      <c r="CM81" s="248"/>
      <c r="CN81" s="248"/>
      <c r="CO81" s="248"/>
      <c r="CP81" s="248"/>
      <c r="CQ81" s="248"/>
      <c r="CR81" s="248"/>
      <c r="CS81" s="248"/>
      <c r="CT81" s="248"/>
      <c r="CU81" s="248"/>
      <c r="CV81" s="248"/>
      <c r="CW81" s="248"/>
      <c r="CX81" s="248"/>
      <c r="CY81" s="248"/>
    </row>
    <row r="82" s="98" customFormat="1" customHeight="1" spans="1:103">
      <c r="A82" s="27">
        <v>26</v>
      </c>
      <c r="B82" s="27" t="s">
        <v>21</v>
      </c>
      <c r="C82" s="27" t="s">
        <v>22</v>
      </c>
      <c r="D82" s="29">
        <v>1</v>
      </c>
      <c r="E82" s="27" t="s">
        <v>53</v>
      </c>
      <c r="F82" s="28">
        <v>5.53</v>
      </c>
      <c r="G82" s="37" t="s">
        <v>185</v>
      </c>
      <c r="H82" s="30">
        <v>46093</v>
      </c>
      <c r="I82" s="30"/>
      <c r="J82" s="275">
        <f t="shared" si="4"/>
        <v>46183</v>
      </c>
      <c r="K82" s="30">
        <v>46113</v>
      </c>
      <c r="L82" s="30">
        <v>46142</v>
      </c>
      <c r="M82" s="272">
        <v>30</v>
      </c>
      <c r="N82" s="273">
        <f t="shared" si="2"/>
        <v>165.9</v>
      </c>
      <c r="O82" s="276">
        <v>0</v>
      </c>
      <c r="P82" s="33">
        <f t="shared" si="3"/>
        <v>0</v>
      </c>
      <c r="Q82" s="235"/>
      <c r="R82" s="266"/>
      <c r="S82" s="266"/>
      <c r="T82" s="266"/>
      <c r="U82" s="266"/>
      <c r="V82" s="266"/>
      <c r="W82" s="266"/>
      <c r="X82" s="248"/>
      <c r="Y82" s="248"/>
      <c r="Z82" s="248"/>
      <c r="AA82" s="248"/>
      <c r="AB82" s="248"/>
      <c r="AC82" s="248"/>
      <c r="AD82" s="248"/>
      <c r="AE82" s="248"/>
      <c r="AF82" s="248"/>
      <c r="AG82" s="248"/>
      <c r="AH82" s="248"/>
      <c r="AI82" s="248"/>
      <c r="AJ82" s="248"/>
      <c r="AK82" s="248"/>
      <c r="AL82" s="248"/>
      <c r="AM82" s="248"/>
      <c r="AN82" s="248"/>
      <c r="AO82" s="248"/>
      <c r="AP82" s="248"/>
      <c r="AQ82" s="248"/>
      <c r="AR82" s="248"/>
      <c r="AS82" s="248"/>
      <c r="AT82" s="248"/>
      <c r="AU82" s="248"/>
      <c r="AV82" s="248"/>
      <c r="AW82" s="248"/>
      <c r="AX82" s="248"/>
      <c r="AY82" s="248"/>
      <c r="AZ82" s="248"/>
      <c r="BA82" s="248"/>
      <c r="BB82" s="248"/>
      <c r="BC82" s="248"/>
      <c r="BD82" s="248"/>
      <c r="BE82" s="248"/>
      <c r="BF82" s="248"/>
      <c r="BG82" s="248"/>
      <c r="BH82" s="248"/>
      <c r="BI82" s="248"/>
      <c r="BJ82" s="248"/>
      <c r="BK82" s="248"/>
      <c r="BL82" s="248"/>
      <c r="BM82" s="248"/>
      <c r="BN82" s="248"/>
      <c r="BO82" s="248"/>
      <c r="BP82" s="248"/>
      <c r="BQ82" s="248"/>
      <c r="BR82" s="248"/>
      <c r="BS82" s="248"/>
      <c r="BT82" s="248"/>
      <c r="BU82" s="248"/>
      <c r="BV82" s="248"/>
      <c r="BW82" s="248"/>
      <c r="BX82" s="248"/>
      <c r="BY82" s="248"/>
      <c r="BZ82" s="248"/>
      <c r="CA82" s="248"/>
      <c r="CB82" s="248"/>
      <c r="CC82" s="248"/>
      <c r="CD82" s="248"/>
      <c r="CE82" s="248"/>
      <c r="CF82" s="248"/>
      <c r="CG82" s="248"/>
      <c r="CH82" s="248"/>
      <c r="CI82" s="248"/>
      <c r="CJ82" s="248"/>
      <c r="CK82" s="248"/>
      <c r="CL82" s="248"/>
      <c r="CM82" s="248"/>
      <c r="CN82" s="248"/>
      <c r="CO82" s="248"/>
      <c r="CP82" s="248"/>
      <c r="CQ82" s="248"/>
      <c r="CR82" s="248"/>
      <c r="CS82" s="248"/>
      <c r="CT82" s="248"/>
      <c r="CU82" s="248"/>
      <c r="CV82" s="248"/>
      <c r="CW82" s="248"/>
      <c r="CX82" s="248"/>
      <c r="CY82" s="248"/>
    </row>
    <row r="83" s="98" customFormat="1" customHeight="1" spans="1:103">
      <c r="A83" s="27">
        <v>26</v>
      </c>
      <c r="B83" s="27" t="s">
        <v>21</v>
      </c>
      <c r="C83" s="27" t="s">
        <v>22</v>
      </c>
      <c r="D83" s="29">
        <v>1</v>
      </c>
      <c r="E83" s="27" t="s">
        <v>53</v>
      </c>
      <c r="F83" s="28">
        <v>5.53</v>
      </c>
      <c r="G83" s="37" t="s">
        <v>186</v>
      </c>
      <c r="H83" s="30">
        <v>46093</v>
      </c>
      <c r="I83" s="30"/>
      <c r="J83" s="275">
        <f t="shared" si="4"/>
        <v>46183</v>
      </c>
      <c r="K83" s="30">
        <v>46113</v>
      </c>
      <c r="L83" s="30">
        <v>46142</v>
      </c>
      <c r="M83" s="272">
        <v>30</v>
      </c>
      <c r="N83" s="273">
        <f t="shared" si="2"/>
        <v>165.9</v>
      </c>
      <c r="O83" s="276">
        <v>0</v>
      </c>
      <c r="P83" s="33">
        <f t="shared" si="3"/>
        <v>0</v>
      </c>
      <c r="Q83" s="235"/>
      <c r="R83" s="266"/>
      <c r="S83" s="266"/>
      <c r="T83" s="266"/>
      <c r="U83" s="266"/>
      <c r="V83" s="266"/>
      <c r="W83" s="266"/>
      <c r="X83" s="248"/>
      <c r="Y83" s="248"/>
      <c r="Z83" s="248"/>
      <c r="AA83" s="248"/>
      <c r="AB83" s="248"/>
      <c r="AC83" s="248"/>
      <c r="AD83" s="248"/>
      <c r="AE83" s="248"/>
      <c r="AF83" s="248"/>
      <c r="AG83" s="248"/>
      <c r="AH83" s="248"/>
      <c r="AI83" s="248"/>
      <c r="AJ83" s="248"/>
      <c r="AK83" s="248"/>
      <c r="AL83" s="248"/>
      <c r="AM83" s="248"/>
      <c r="AN83" s="248"/>
      <c r="AO83" s="248"/>
      <c r="AP83" s="248"/>
      <c r="AQ83" s="248"/>
      <c r="AR83" s="248"/>
      <c r="AS83" s="248"/>
      <c r="AT83" s="248"/>
      <c r="AU83" s="248"/>
      <c r="AV83" s="248"/>
      <c r="AW83" s="248"/>
      <c r="AX83" s="248"/>
      <c r="AY83" s="248"/>
      <c r="AZ83" s="248"/>
      <c r="BA83" s="248"/>
      <c r="BB83" s="248"/>
      <c r="BC83" s="248"/>
      <c r="BD83" s="248"/>
      <c r="BE83" s="248"/>
      <c r="BF83" s="248"/>
      <c r="BG83" s="248"/>
      <c r="BH83" s="248"/>
      <c r="BI83" s="248"/>
      <c r="BJ83" s="248"/>
      <c r="BK83" s="248"/>
      <c r="BL83" s="248"/>
      <c r="BM83" s="248"/>
      <c r="BN83" s="248"/>
      <c r="BO83" s="248"/>
      <c r="BP83" s="248"/>
      <c r="BQ83" s="248"/>
      <c r="BR83" s="248"/>
      <c r="BS83" s="248"/>
      <c r="BT83" s="248"/>
      <c r="BU83" s="248"/>
      <c r="BV83" s="248"/>
      <c r="BW83" s="248"/>
      <c r="BX83" s="248"/>
      <c r="BY83" s="248"/>
      <c r="BZ83" s="248"/>
      <c r="CA83" s="248"/>
      <c r="CB83" s="248"/>
      <c r="CC83" s="248"/>
      <c r="CD83" s="248"/>
      <c r="CE83" s="248"/>
      <c r="CF83" s="248"/>
      <c r="CG83" s="248"/>
      <c r="CH83" s="248"/>
      <c r="CI83" s="248"/>
      <c r="CJ83" s="248"/>
      <c r="CK83" s="248"/>
      <c r="CL83" s="248"/>
      <c r="CM83" s="248"/>
      <c r="CN83" s="248"/>
      <c r="CO83" s="248"/>
      <c r="CP83" s="248"/>
      <c r="CQ83" s="248"/>
      <c r="CR83" s="248"/>
      <c r="CS83" s="248"/>
      <c r="CT83" s="248"/>
      <c r="CU83" s="248"/>
      <c r="CV83" s="248"/>
      <c r="CW83" s="248"/>
      <c r="CX83" s="248"/>
      <c r="CY83" s="248"/>
    </row>
    <row r="84" s="98" customFormat="1" customHeight="1" spans="1:103">
      <c r="A84" s="27">
        <v>26</v>
      </c>
      <c r="B84" s="27" t="s">
        <v>21</v>
      </c>
      <c r="C84" s="27" t="s">
        <v>22</v>
      </c>
      <c r="D84" s="29">
        <v>1</v>
      </c>
      <c r="E84" s="27" t="s">
        <v>53</v>
      </c>
      <c r="F84" s="28">
        <v>5.53</v>
      </c>
      <c r="G84" s="37" t="s">
        <v>187</v>
      </c>
      <c r="H84" s="30">
        <v>46093</v>
      </c>
      <c r="I84" s="30"/>
      <c r="J84" s="275">
        <f t="shared" si="4"/>
        <v>46183</v>
      </c>
      <c r="K84" s="30">
        <v>46113</v>
      </c>
      <c r="L84" s="30">
        <v>46142</v>
      </c>
      <c r="M84" s="272">
        <v>30</v>
      </c>
      <c r="N84" s="273">
        <f t="shared" si="2"/>
        <v>165.9</v>
      </c>
      <c r="O84" s="276">
        <v>0</v>
      </c>
      <c r="P84" s="33">
        <f t="shared" si="3"/>
        <v>0</v>
      </c>
      <c r="Q84" s="235"/>
      <c r="R84" s="266"/>
      <c r="S84" s="266"/>
      <c r="T84" s="266"/>
      <c r="U84" s="266"/>
      <c r="V84" s="266"/>
      <c r="W84" s="266"/>
      <c r="X84" s="248"/>
      <c r="Y84" s="248"/>
      <c r="Z84" s="248"/>
      <c r="AA84" s="248"/>
      <c r="AB84" s="248"/>
      <c r="AC84" s="248"/>
      <c r="AD84" s="248"/>
      <c r="AE84" s="248"/>
      <c r="AF84" s="248"/>
      <c r="AG84" s="248"/>
      <c r="AH84" s="248"/>
      <c r="AI84" s="248"/>
      <c r="AJ84" s="248"/>
      <c r="AK84" s="248"/>
      <c r="AL84" s="248"/>
      <c r="AM84" s="248"/>
      <c r="AN84" s="248"/>
      <c r="AO84" s="248"/>
      <c r="AP84" s="248"/>
      <c r="AQ84" s="248"/>
      <c r="AR84" s="248"/>
      <c r="AS84" s="248"/>
      <c r="AT84" s="248"/>
      <c r="AU84" s="248"/>
      <c r="AV84" s="248"/>
      <c r="AW84" s="248"/>
      <c r="AX84" s="248"/>
      <c r="AY84" s="248"/>
      <c r="AZ84" s="248"/>
      <c r="BA84" s="248"/>
      <c r="BB84" s="248"/>
      <c r="BC84" s="248"/>
      <c r="BD84" s="248"/>
      <c r="BE84" s="248"/>
      <c r="BF84" s="248"/>
      <c r="BG84" s="248"/>
      <c r="BH84" s="248"/>
      <c r="BI84" s="248"/>
      <c r="BJ84" s="248"/>
      <c r="BK84" s="248"/>
      <c r="BL84" s="248"/>
      <c r="BM84" s="248"/>
      <c r="BN84" s="248"/>
      <c r="BO84" s="248"/>
      <c r="BP84" s="248"/>
      <c r="BQ84" s="248"/>
      <c r="BR84" s="248"/>
      <c r="BS84" s="248"/>
      <c r="BT84" s="248"/>
      <c r="BU84" s="248"/>
      <c r="BV84" s="248"/>
      <c r="BW84" s="248"/>
      <c r="BX84" s="248"/>
      <c r="BY84" s="248"/>
      <c r="BZ84" s="248"/>
      <c r="CA84" s="248"/>
      <c r="CB84" s="248"/>
      <c r="CC84" s="248"/>
      <c r="CD84" s="248"/>
      <c r="CE84" s="248"/>
      <c r="CF84" s="248"/>
      <c r="CG84" s="248"/>
      <c r="CH84" s="248"/>
      <c r="CI84" s="248"/>
      <c r="CJ84" s="248"/>
      <c r="CK84" s="248"/>
      <c r="CL84" s="248"/>
      <c r="CM84" s="248"/>
      <c r="CN84" s="248"/>
      <c r="CO84" s="248"/>
      <c r="CP84" s="248"/>
      <c r="CQ84" s="248"/>
      <c r="CR84" s="248"/>
      <c r="CS84" s="248"/>
      <c r="CT84" s="248"/>
      <c r="CU84" s="248"/>
      <c r="CV84" s="248"/>
      <c r="CW84" s="248"/>
      <c r="CX84" s="248"/>
      <c r="CY84" s="248"/>
    </row>
    <row r="85" s="98" customFormat="1" customHeight="1" spans="1:103">
      <c r="A85" s="27">
        <v>26</v>
      </c>
      <c r="B85" s="27" t="s">
        <v>21</v>
      </c>
      <c r="C85" s="27" t="s">
        <v>22</v>
      </c>
      <c r="D85" s="29">
        <v>1</v>
      </c>
      <c r="E85" s="27" t="s">
        <v>53</v>
      </c>
      <c r="F85" s="28">
        <v>5.53</v>
      </c>
      <c r="G85" s="37" t="s">
        <v>188</v>
      </c>
      <c r="H85" s="30">
        <v>46093</v>
      </c>
      <c r="I85" s="30"/>
      <c r="J85" s="275">
        <f t="shared" si="4"/>
        <v>46183</v>
      </c>
      <c r="K85" s="30">
        <v>46113</v>
      </c>
      <c r="L85" s="30">
        <v>46142</v>
      </c>
      <c r="M85" s="272">
        <v>30</v>
      </c>
      <c r="N85" s="273">
        <f t="shared" si="2"/>
        <v>165.9</v>
      </c>
      <c r="O85" s="276">
        <v>0</v>
      </c>
      <c r="P85" s="33">
        <f t="shared" si="3"/>
        <v>0</v>
      </c>
      <c r="Q85" s="235"/>
      <c r="R85" s="266"/>
      <c r="S85" s="266"/>
      <c r="T85" s="266"/>
      <c r="U85" s="266"/>
      <c r="V85" s="266"/>
      <c r="W85" s="266"/>
      <c r="X85" s="248"/>
      <c r="Y85" s="248"/>
      <c r="Z85" s="248"/>
      <c r="AA85" s="248"/>
      <c r="AB85" s="248"/>
      <c r="AC85" s="248"/>
      <c r="AD85" s="248"/>
      <c r="AE85" s="248"/>
      <c r="AF85" s="248"/>
      <c r="AG85" s="248"/>
      <c r="AH85" s="248"/>
      <c r="AI85" s="248"/>
      <c r="AJ85" s="248"/>
      <c r="AK85" s="248"/>
      <c r="AL85" s="248"/>
      <c r="AM85" s="248"/>
      <c r="AN85" s="248"/>
      <c r="AO85" s="248"/>
      <c r="AP85" s="248"/>
      <c r="AQ85" s="248"/>
      <c r="AR85" s="248"/>
      <c r="AS85" s="248"/>
      <c r="AT85" s="248"/>
      <c r="AU85" s="248"/>
      <c r="AV85" s="248"/>
      <c r="AW85" s="248"/>
      <c r="AX85" s="248"/>
      <c r="AY85" s="248"/>
      <c r="AZ85" s="248"/>
      <c r="BA85" s="248"/>
      <c r="BB85" s="248"/>
      <c r="BC85" s="248"/>
      <c r="BD85" s="248"/>
      <c r="BE85" s="248"/>
      <c r="BF85" s="248"/>
      <c r="BG85" s="248"/>
      <c r="BH85" s="248"/>
      <c r="BI85" s="248"/>
      <c r="BJ85" s="248"/>
      <c r="BK85" s="248"/>
      <c r="BL85" s="248"/>
      <c r="BM85" s="248"/>
      <c r="BN85" s="248"/>
      <c r="BO85" s="248"/>
      <c r="BP85" s="248"/>
      <c r="BQ85" s="248"/>
      <c r="BR85" s="248"/>
      <c r="BS85" s="248"/>
      <c r="BT85" s="248"/>
      <c r="BU85" s="248"/>
      <c r="BV85" s="248"/>
      <c r="BW85" s="248"/>
      <c r="BX85" s="248"/>
      <c r="BY85" s="248"/>
      <c r="BZ85" s="248"/>
      <c r="CA85" s="248"/>
      <c r="CB85" s="248"/>
      <c r="CC85" s="248"/>
      <c r="CD85" s="248"/>
      <c r="CE85" s="248"/>
      <c r="CF85" s="248"/>
      <c r="CG85" s="248"/>
      <c r="CH85" s="248"/>
      <c r="CI85" s="248"/>
      <c r="CJ85" s="248"/>
      <c r="CK85" s="248"/>
      <c r="CL85" s="248"/>
      <c r="CM85" s="248"/>
      <c r="CN85" s="248"/>
      <c r="CO85" s="248"/>
      <c r="CP85" s="248"/>
      <c r="CQ85" s="248"/>
      <c r="CR85" s="248"/>
      <c r="CS85" s="248"/>
      <c r="CT85" s="248"/>
      <c r="CU85" s="248"/>
      <c r="CV85" s="248"/>
      <c r="CW85" s="248"/>
      <c r="CX85" s="248"/>
      <c r="CY85" s="248"/>
    </row>
    <row r="86" s="98" customFormat="1" customHeight="1" spans="1:103">
      <c r="A86" s="29" t="s">
        <v>126</v>
      </c>
      <c r="B86" s="29"/>
      <c r="C86" s="29"/>
      <c r="D86" s="29">
        <f>SUM(D48:D85)</f>
        <v>38</v>
      </c>
      <c r="E86" s="29" t="s">
        <v>127</v>
      </c>
      <c r="F86" s="29"/>
      <c r="G86" s="29"/>
      <c r="H86" s="29"/>
      <c r="I86" s="29"/>
      <c r="J86" s="29"/>
      <c r="K86" s="29"/>
      <c r="L86" s="29"/>
      <c r="M86" s="29"/>
      <c r="N86" s="33">
        <f>SUM(N48:N85)</f>
        <v>5706.96</v>
      </c>
      <c r="O86" s="277"/>
      <c r="P86" s="278">
        <f>SUM(P48:P85)</f>
        <v>4379.76</v>
      </c>
      <c r="Q86" s="236"/>
      <c r="R86" s="266"/>
      <c r="S86" s="266"/>
      <c r="T86" s="266"/>
      <c r="U86" s="266"/>
      <c r="V86" s="266"/>
      <c r="W86" s="266"/>
      <c r="X86" s="248"/>
      <c r="Y86" s="248"/>
      <c r="Z86" s="248"/>
      <c r="AA86" s="248"/>
      <c r="AB86" s="248"/>
      <c r="AC86" s="248"/>
      <c r="AD86" s="248"/>
      <c r="AE86" s="248"/>
      <c r="AF86" s="248"/>
      <c r="AG86" s="248"/>
      <c r="AH86" s="248"/>
      <c r="AI86" s="248"/>
      <c r="AJ86" s="248"/>
      <c r="AK86" s="248"/>
      <c r="AL86" s="248"/>
      <c r="AM86" s="248"/>
      <c r="AN86" s="248"/>
      <c r="AO86" s="248"/>
      <c r="AP86" s="248"/>
      <c r="AQ86" s="248"/>
      <c r="AR86" s="248"/>
      <c r="AS86" s="248"/>
      <c r="AT86" s="248"/>
      <c r="AU86" s="248"/>
      <c r="AV86" s="248"/>
      <c r="AW86" s="248"/>
      <c r="AX86" s="248"/>
      <c r="AY86" s="248"/>
      <c r="AZ86" s="248"/>
      <c r="BA86" s="248"/>
      <c r="BB86" s="248"/>
      <c r="BC86" s="248"/>
      <c r="BD86" s="248"/>
      <c r="BE86" s="248"/>
      <c r="BF86" s="248"/>
      <c r="BG86" s="248"/>
      <c r="BH86" s="248"/>
      <c r="BI86" s="248"/>
      <c r="BJ86" s="248"/>
      <c r="BK86" s="248"/>
      <c r="BL86" s="248"/>
      <c r="BM86" s="248"/>
      <c r="BN86" s="248"/>
      <c r="BO86" s="248"/>
      <c r="BP86" s="248"/>
      <c r="BQ86" s="248"/>
      <c r="BR86" s="248"/>
      <c r="BS86" s="248"/>
      <c r="BT86" s="248"/>
      <c r="BU86" s="248"/>
      <c r="BV86" s="248"/>
      <c r="BW86" s="248"/>
      <c r="BX86" s="248"/>
      <c r="BY86" s="248"/>
      <c r="BZ86" s="248"/>
      <c r="CA86" s="248"/>
      <c r="CB86" s="248"/>
      <c r="CC86" s="248"/>
      <c r="CD86" s="248"/>
      <c r="CE86" s="248"/>
      <c r="CF86" s="248"/>
      <c r="CG86" s="248"/>
      <c r="CH86" s="248"/>
      <c r="CI86" s="248"/>
      <c r="CJ86" s="248"/>
      <c r="CK86" s="248"/>
      <c r="CL86" s="248"/>
      <c r="CM86" s="248"/>
      <c r="CN86" s="248"/>
      <c r="CO86" s="248"/>
      <c r="CP86" s="248"/>
      <c r="CQ86" s="248"/>
      <c r="CR86" s="248"/>
      <c r="CS86" s="248"/>
      <c r="CT86" s="248"/>
      <c r="CU86" s="248"/>
      <c r="CV86" s="248"/>
      <c r="CW86" s="248"/>
      <c r="CX86" s="248"/>
      <c r="CY86" s="248"/>
    </row>
    <row r="88" customFormat="1" customHeight="1" spans="1:103">
      <c r="A88" s="48" t="s">
        <v>16</v>
      </c>
      <c r="B88" s="48" t="s">
        <v>17</v>
      </c>
      <c r="C88" s="48" t="s">
        <v>18</v>
      </c>
      <c r="D88" s="48" t="s">
        <v>65</v>
      </c>
      <c r="E88" s="48" t="s">
        <v>46</v>
      </c>
      <c r="F88" s="48" t="s">
        <v>75</v>
      </c>
      <c r="G88" s="48"/>
      <c r="H88" s="48"/>
      <c r="I88" s="48"/>
      <c r="J88" s="48"/>
      <c r="K88" s="48"/>
      <c r="L88" s="48"/>
      <c r="M88" s="48"/>
      <c r="N88" s="48"/>
      <c r="O88" s="12"/>
      <c r="P88" s="249"/>
      <c r="Q88" s="237"/>
      <c r="R88" s="237"/>
      <c r="S88" s="237"/>
      <c r="T88" s="237"/>
      <c r="U88" s="237"/>
      <c r="V88" s="237"/>
      <c r="W88" s="237"/>
      <c r="X88" s="237"/>
      <c r="Y88" s="237"/>
      <c r="Z88" s="237"/>
      <c r="AA88" s="237"/>
      <c r="AB88" s="237"/>
      <c r="AC88" s="237"/>
      <c r="AD88" s="237"/>
      <c r="AE88" s="237"/>
      <c r="AF88" s="237"/>
      <c r="AG88" s="237"/>
      <c r="AH88" s="237"/>
      <c r="AI88" s="237"/>
      <c r="AJ88" s="237"/>
      <c r="AK88" s="237"/>
      <c r="AL88" s="237"/>
      <c r="AM88" s="237"/>
      <c r="AN88" s="237"/>
      <c r="AO88" s="237"/>
      <c r="AP88" s="237"/>
      <c r="AQ88" s="250"/>
      <c r="AR88" s="250"/>
      <c r="AS88" s="250"/>
      <c r="AT88" s="250"/>
      <c r="AU88" s="250"/>
      <c r="AV88" s="250"/>
      <c r="AW88" s="250"/>
      <c r="AX88" s="250"/>
      <c r="AY88" s="250"/>
      <c r="AZ88" s="250"/>
      <c r="BA88" s="250"/>
      <c r="BB88" s="250"/>
      <c r="BC88" s="250"/>
      <c r="BD88" s="250"/>
      <c r="BE88" s="250"/>
      <c r="BF88" s="250"/>
      <c r="BG88" s="250"/>
      <c r="BH88" s="250"/>
      <c r="BI88" s="250"/>
      <c r="BJ88" s="250"/>
      <c r="BK88" s="250"/>
      <c r="BL88" s="250"/>
      <c r="BM88" s="250"/>
      <c r="BN88" s="250"/>
      <c r="BO88" s="250"/>
      <c r="BP88" s="250"/>
      <c r="BQ88" s="250"/>
      <c r="BR88" s="250"/>
      <c r="BS88" s="250"/>
      <c r="BT88" s="250"/>
      <c r="BU88" s="250"/>
      <c r="BV88" s="250"/>
      <c r="BW88" s="250"/>
      <c r="BX88" s="250"/>
      <c r="BY88" s="250"/>
      <c r="BZ88" s="250"/>
      <c r="CA88" s="250"/>
      <c r="CB88" s="250"/>
      <c r="CC88" s="250"/>
      <c r="CD88" s="250"/>
      <c r="CE88" s="250"/>
      <c r="CF88" s="250"/>
      <c r="CG88" s="250"/>
      <c r="CH88" s="250"/>
      <c r="CI88" s="250"/>
      <c r="CJ88" s="250"/>
      <c r="CK88" s="250"/>
      <c r="CL88" s="250"/>
      <c r="CM88" s="250"/>
      <c r="CN88" s="250"/>
      <c r="CO88" s="250"/>
      <c r="CP88" s="250"/>
      <c r="CQ88" s="250"/>
      <c r="CR88" s="250"/>
      <c r="CS88" s="250"/>
      <c r="CT88" s="250"/>
      <c r="CU88" s="250"/>
      <c r="CV88" s="250"/>
      <c r="CW88" s="250"/>
      <c r="CX88" s="250"/>
      <c r="CY88" s="250"/>
    </row>
    <row r="89" customFormat="1" customHeight="1" spans="1:103">
      <c r="A89" s="27">
        <v>50</v>
      </c>
      <c r="B89" s="27" t="s">
        <v>30</v>
      </c>
      <c r="C89" s="27" t="s">
        <v>31</v>
      </c>
      <c r="D89" s="32">
        <v>1</v>
      </c>
      <c r="E89" s="27" t="s">
        <v>53</v>
      </c>
      <c r="F89" s="32">
        <f>P44</f>
        <v>296.01</v>
      </c>
      <c r="G89" s="32"/>
      <c r="H89" s="32"/>
      <c r="I89" s="32"/>
      <c r="J89" s="32"/>
      <c r="K89" s="32"/>
      <c r="L89" s="32"/>
      <c r="M89" s="32"/>
      <c r="N89" s="32"/>
      <c r="O89" s="12"/>
      <c r="P89" s="249"/>
      <c r="Q89" s="237"/>
      <c r="R89" s="237"/>
      <c r="S89" s="237"/>
      <c r="T89" s="237"/>
      <c r="U89" s="237"/>
      <c r="V89" s="237"/>
      <c r="W89" s="237"/>
      <c r="X89" s="237"/>
      <c r="Y89" s="237"/>
      <c r="Z89" s="237"/>
      <c r="AA89" s="237"/>
      <c r="AB89" s="237"/>
      <c r="AC89" s="237"/>
      <c r="AD89" s="237"/>
      <c r="AE89" s="237"/>
      <c r="AF89" s="237"/>
      <c r="AG89" s="237"/>
      <c r="AH89" s="237"/>
      <c r="AI89" s="237"/>
      <c r="AJ89" s="237"/>
      <c r="AK89" s="237"/>
      <c r="AL89" s="237"/>
      <c r="AM89" s="237"/>
      <c r="AN89" s="237"/>
      <c r="AO89" s="237"/>
      <c r="AP89" s="237"/>
      <c r="AQ89" s="250"/>
      <c r="AR89" s="250"/>
      <c r="AS89" s="250"/>
      <c r="AT89" s="250"/>
      <c r="AU89" s="250"/>
      <c r="AV89" s="250"/>
      <c r="AW89" s="250"/>
      <c r="AX89" s="250"/>
      <c r="AY89" s="250"/>
      <c r="AZ89" s="250"/>
      <c r="BA89" s="250"/>
      <c r="BB89" s="250"/>
      <c r="BC89" s="250"/>
      <c r="BD89" s="250"/>
      <c r="BE89" s="250"/>
      <c r="BF89" s="250"/>
      <c r="BG89" s="250"/>
      <c r="BH89" s="250"/>
      <c r="BI89" s="250"/>
      <c r="BJ89" s="250"/>
      <c r="BK89" s="250"/>
      <c r="BL89" s="250"/>
      <c r="BM89" s="250"/>
      <c r="BN89" s="250"/>
      <c r="BO89" s="250"/>
      <c r="BP89" s="250"/>
      <c r="BQ89" s="250"/>
      <c r="BR89" s="250"/>
      <c r="BS89" s="250"/>
      <c r="BT89" s="250"/>
      <c r="BU89" s="250"/>
      <c r="BV89" s="250"/>
      <c r="BW89" s="250"/>
      <c r="BX89" s="250"/>
      <c r="BY89" s="250"/>
      <c r="BZ89" s="250"/>
      <c r="CA89" s="250"/>
      <c r="CB89" s="250"/>
      <c r="CC89" s="250"/>
      <c r="CD89" s="250"/>
      <c r="CE89" s="250"/>
      <c r="CF89" s="250"/>
      <c r="CG89" s="250"/>
      <c r="CH89" s="250"/>
      <c r="CI89" s="250"/>
      <c r="CJ89" s="250"/>
      <c r="CK89" s="250"/>
      <c r="CL89" s="250"/>
      <c r="CM89" s="250"/>
      <c r="CN89" s="250"/>
      <c r="CO89" s="250"/>
      <c r="CP89" s="250"/>
      <c r="CQ89" s="250"/>
      <c r="CR89" s="250"/>
      <c r="CS89" s="250"/>
      <c r="CT89" s="250"/>
      <c r="CU89" s="250"/>
      <c r="CV89" s="250"/>
      <c r="CW89" s="250"/>
      <c r="CX89" s="250"/>
      <c r="CY89" s="250"/>
    </row>
    <row r="90" customFormat="1" customHeight="1" spans="1:103">
      <c r="A90" s="27">
        <v>26</v>
      </c>
      <c r="B90" s="27" t="s">
        <v>21</v>
      </c>
      <c r="C90" s="27" t="s">
        <v>22</v>
      </c>
      <c r="D90" s="32">
        <v>38</v>
      </c>
      <c r="E90" s="27" t="s">
        <v>53</v>
      </c>
      <c r="F90" s="32">
        <f>SUM(P48:P85)</f>
        <v>4379.76</v>
      </c>
      <c r="G90" s="32"/>
      <c r="H90" s="32"/>
      <c r="I90" s="32"/>
      <c r="J90" s="32"/>
      <c r="K90" s="32"/>
      <c r="L90" s="32"/>
      <c r="M90" s="32"/>
      <c r="N90" s="32"/>
      <c r="O90" s="12"/>
      <c r="P90" s="249"/>
      <c r="Q90" s="237"/>
      <c r="R90" s="237"/>
      <c r="S90" s="237"/>
      <c r="T90" s="237"/>
      <c r="U90" s="237"/>
      <c r="V90" s="237"/>
      <c r="W90" s="237"/>
      <c r="X90" s="237"/>
      <c r="Y90" s="237"/>
      <c r="Z90" s="237"/>
      <c r="AA90" s="237"/>
      <c r="AB90" s="237"/>
      <c r="AC90" s="237"/>
      <c r="AD90" s="237"/>
      <c r="AE90" s="237"/>
      <c r="AF90" s="237"/>
      <c r="AG90" s="237"/>
      <c r="AH90" s="237"/>
      <c r="AI90" s="237"/>
      <c r="AJ90" s="237"/>
      <c r="AK90" s="237"/>
      <c r="AL90" s="237"/>
      <c r="AM90" s="237"/>
      <c r="AN90" s="237"/>
      <c r="AO90" s="237"/>
      <c r="AP90" s="237"/>
      <c r="AQ90" s="250"/>
      <c r="AR90" s="250"/>
      <c r="AS90" s="250"/>
      <c r="AT90" s="250"/>
      <c r="AU90" s="250"/>
      <c r="AV90" s="250"/>
      <c r="AW90" s="250"/>
      <c r="AX90" s="250"/>
      <c r="AY90" s="250"/>
      <c r="AZ90" s="250"/>
      <c r="BA90" s="250"/>
      <c r="BB90" s="250"/>
      <c r="BC90" s="250"/>
      <c r="BD90" s="250"/>
      <c r="BE90" s="250"/>
      <c r="BF90" s="250"/>
      <c r="BG90" s="250"/>
      <c r="BH90" s="250"/>
      <c r="BI90" s="250"/>
      <c r="BJ90" s="250"/>
      <c r="BK90" s="250"/>
      <c r="BL90" s="250"/>
      <c r="BM90" s="250"/>
      <c r="BN90" s="250"/>
      <c r="BO90" s="250"/>
      <c r="BP90" s="250"/>
      <c r="BQ90" s="250"/>
      <c r="BR90" s="250"/>
      <c r="BS90" s="250"/>
      <c r="BT90" s="250"/>
      <c r="BU90" s="250"/>
      <c r="BV90" s="250"/>
      <c r="BW90" s="250"/>
      <c r="BX90" s="250"/>
      <c r="BY90" s="250"/>
      <c r="BZ90" s="250"/>
      <c r="CA90" s="250"/>
      <c r="CB90" s="250"/>
      <c r="CC90" s="250"/>
      <c r="CD90" s="250"/>
      <c r="CE90" s="250"/>
      <c r="CF90" s="250"/>
      <c r="CG90" s="250"/>
      <c r="CH90" s="250"/>
      <c r="CI90" s="250"/>
      <c r="CJ90" s="250"/>
      <c r="CK90" s="250"/>
      <c r="CL90" s="250"/>
      <c r="CM90" s="250"/>
      <c r="CN90" s="250"/>
      <c r="CO90" s="250"/>
      <c r="CP90" s="250"/>
      <c r="CQ90" s="250"/>
      <c r="CR90" s="250"/>
      <c r="CS90" s="250"/>
      <c r="CT90" s="250"/>
      <c r="CU90" s="250"/>
      <c r="CV90" s="250"/>
      <c r="CW90" s="250"/>
      <c r="CX90" s="250"/>
      <c r="CY90" s="250"/>
    </row>
    <row r="91" customFormat="1" customHeight="1" spans="1:103">
      <c r="A91" s="27">
        <v>35</v>
      </c>
      <c r="B91" s="14" t="s">
        <v>51</v>
      </c>
      <c r="C91" s="14" t="s">
        <v>54</v>
      </c>
      <c r="D91" s="32">
        <v>10</v>
      </c>
      <c r="E91" s="27" t="s">
        <v>53</v>
      </c>
      <c r="F91" s="55">
        <f>SUM(P23:P32)</f>
        <v>7.8</v>
      </c>
      <c r="G91" s="154"/>
      <c r="H91" s="154"/>
      <c r="I91" s="154"/>
      <c r="J91" s="154"/>
      <c r="K91" s="154"/>
      <c r="L91" s="154"/>
      <c r="M91" s="154"/>
      <c r="N91" s="155"/>
      <c r="O91" s="11"/>
      <c r="P91" s="249"/>
      <c r="Q91" s="237"/>
      <c r="R91" s="237"/>
      <c r="S91" s="237"/>
      <c r="T91" s="237"/>
      <c r="U91" s="237"/>
      <c r="V91" s="237"/>
      <c r="W91" s="237"/>
      <c r="X91" s="237"/>
      <c r="Y91" s="237"/>
      <c r="Z91" s="237"/>
      <c r="AA91" s="237"/>
      <c r="AB91" s="237"/>
      <c r="AC91" s="237"/>
      <c r="AD91" s="237"/>
      <c r="AE91" s="237"/>
      <c r="AF91" s="237"/>
      <c r="AG91" s="237"/>
      <c r="AH91" s="237"/>
      <c r="AI91" s="237"/>
      <c r="AJ91" s="237"/>
      <c r="AK91" s="237"/>
      <c r="AL91" s="237"/>
      <c r="AM91" s="237"/>
      <c r="AN91" s="237"/>
      <c r="AO91" s="237"/>
      <c r="AP91" s="237"/>
      <c r="AQ91" s="250"/>
      <c r="AR91" s="250"/>
      <c r="AS91" s="250"/>
      <c r="AT91" s="250"/>
      <c r="AU91" s="250"/>
      <c r="AV91" s="250"/>
      <c r="AW91" s="250"/>
      <c r="AX91" s="250"/>
      <c r="AY91" s="250"/>
      <c r="AZ91" s="250"/>
      <c r="BA91" s="250"/>
      <c r="BB91" s="250"/>
      <c r="BC91" s="250"/>
      <c r="BD91" s="250"/>
      <c r="BE91" s="250"/>
      <c r="BF91" s="250"/>
      <c r="BG91" s="250"/>
      <c r="BH91" s="250"/>
      <c r="BI91" s="250"/>
      <c r="BJ91" s="250"/>
      <c r="BK91" s="250"/>
      <c r="BL91" s="250"/>
      <c r="BM91" s="250"/>
      <c r="BN91" s="250"/>
      <c r="BO91" s="250"/>
      <c r="BP91" s="250"/>
      <c r="BQ91" s="250"/>
      <c r="BR91" s="250"/>
      <c r="BS91" s="250"/>
      <c r="BT91" s="250"/>
      <c r="BU91" s="250"/>
      <c r="BV91" s="250"/>
      <c r="BW91" s="250"/>
      <c r="BX91" s="250"/>
      <c r="BY91" s="250"/>
      <c r="BZ91" s="250"/>
      <c r="CA91" s="250"/>
      <c r="CB91" s="250"/>
      <c r="CC91" s="250"/>
      <c r="CD91" s="250"/>
      <c r="CE91" s="250"/>
      <c r="CF91" s="250"/>
      <c r="CG91" s="250"/>
      <c r="CH91" s="250"/>
      <c r="CI91" s="250"/>
      <c r="CJ91" s="250"/>
      <c r="CK91" s="250"/>
      <c r="CL91" s="250"/>
      <c r="CM91" s="250"/>
      <c r="CN91" s="250"/>
      <c r="CO91" s="250"/>
      <c r="CP91" s="250"/>
      <c r="CQ91" s="250"/>
      <c r="CR91" s="250"/>
      <c r="CS91" s="250"/>
      <c r="CT91" s="250"/>
      <c r="CU91" s="250"/>
      <c r="CV91" s="250"/>
      <c r="CW91" s="250"/>
      <c r="CX91" s="250"/>
      <c r="CY91" s="250"/>
    </row>
    <row r="92" customFormat="1" customHeight="1" spans="1:103">
      <c r="A92" s="27">
        <v>13</v>
      </c>
      <c r="B92" s="14" t="s">
        <v>25</v>
      </c>
      <c r="C92" s="14" t="s">
        <v>27</v>
      </c>
      <c r="D92" s="14">
        <v>7</v>
      </c>
      <c r="E92" s="14" t="s">
        <v>53</v>
      </c>
      <c r="F92" s="55">
        <f>P41</f>
        <v>17990.7</v>
      </c>
      <c r="G92" s="154"/>
      <c r="H92" s="154"/>
      <c r="I92" s="154"/>
      <c r="J92" s="154"/>
      <c r="K92" s="154"/>
      <c r="L92" s="154"/>
      <c r="M92" s="154"/>
      <c r="N92" s="155"/>
      <c r="O92" s="11"/>
      <c r="P92" s="249"/>
      <c r="Q92" s="237"/>
      <c r="R92" s="237"/>
      <c r="S92" s="237"/>
      <c r="T92" s="237"/>
      <c r="U92" s="237"/>
      <c r="V92" s="237"/>
      <c r="W92" s="237"/>
      <c r="X92" s="237"/>
      <c r="Y92" s="237"/>
      <c r="Z92" s="237"/>
      <c r="AA92" s="237"/>
      <c r="AB92" s="237"/>
      <c r="AC92" s="237"/>
      <c r="AD92" s="237"/>
      <c r="AE92" s="237"/>
      <c r="AF92" s="237"/>
      <c r="AG92" s="237"/>
      <c r="AH92" s="237"/>
      <c r="AI92" s="237"/>
      <c r="AJ92" s="237"/>
      <c r="AK92" s="237"/>
      <c r="AL92" s="237"/>
      <c r="AM92" s="237"/>
      <c r="AN92" s="237"/>
      <c r="AO92" s="237"/>
      <c r="AP92" s="237"/>
      <c r="AQ92" s="250"/>
      <c r="AR92" s="250"/>
      <c r="AS92" s="250"/>
      <c r="AT92" s="250"/>
      <c r="AU92" s="250"/>
      <c r="AV92" s="250"/>
      <c r="AW92" s="250"/>
      <c r="AX92" s="250"/>
      <c r="AY92" s="250"/>
      <c r="AZ92" s="250"/>
      <c r="BA92" s="250"/>
      <c r="BB92" s="250"/>
      <c r="BC92" s="250"/>
      <c r="BD92" s="250"/>
      <c r="BE92" s="250"/>
      <c r="BF92" s="250"/>
      <c r="BG92" s="250"/>
      <c r="BH92" s="250"/>
      <c r="BI92" s="250"/>
      <c r="BJ92" s="250"/>
      <c r="BK92" s="250"/>
      <c r="BL92" s="250"/>
      <c r="BM92" s="250"/>
      <c r="BN92" s="250"/>
      <c r="BO92" s="250"/>
      <c r="BP92" s="250"/>
      <c r="BQ92" s="250"/>
      <c r="BR92" s="250"/>
      <c r="BS92" s="250"/>
      <c r="BT92" s="250"/>
      <c r="BU92" s="250"/>
      <c r="BV92" s="250"/>
      <c r="BW92" s="250"/>
      <c r="BX92" s="250"/>
      <c r="BY92" s="250"/>
      <c r="BZ92" s="250"/>
      <c r="CA92" s="250"/>
      <c r="CB92" s="250"/>
      <c r="CC92" s="250"/>
      <c r="CD92" s="250"/>
      <c r="CE92" s="250"/>
      <c r="CF92" s="250"/>
      <c r="CG92" s="250"/>
      <c r="CH92" s="250"/>
      <c r="CI92" s="250"/>
      <c r="CJ92" s="250"/>
      <c r="CK92" s="250"/>
      <c r="CL92" s="250"/>
      <c r="CM92" s="250"/>
      <c r="CN92" s="250"/>
      <c r="CO92" s="250"/>
      <c r="CP92" s="250"/>
      <c r="CQ92" s="250"/>
      <c r="CR92" s="250"/>
      <c r="CS92" s="250"/>
      <c r="CT92" s="250"/>
      <c r="CU92" s="250"/>
      <c r="CV92" s="250"/>
      <c r="CW92" s="250"/>
      <c r="CX92" s="250"/>
      <c r="CY92" s="250"/>
    </row>
    <row r="93" customFormat="1" customHeight="1" spans="1:103">
      <c r="A93" s="27">
        <v>36</v>
      </c>
      <c r="B93" s="14" t="s">
        <v>51</v>
      </c>
      <c r="C93" s="27" t="s">
        <v>52</v>
      </c>
      <c r="D93" s="32">
        <v>1</v>
      </c>
      <c r="E93" s="27" t="s">
        <v>53</v>
      </c>
      <c r="F93" s="55">
        <f>P3</f>
        <v>51.24</v>
      </c>
      <c r="G93" s="154"/>
      <c r="H93" s="154"/>
      <c r="I93" s="154"/>
      <c r="J93" s="154"/>
      <c r="K93" s="154"/>
      <c r="L93" s="154"/>
      <c r="M93" s="154"/>
      <c r="N93" s="155"/>
      <c r="O93" s="11"/>
      <c r="P93" s="249"/>
      <c r="Q93" s="237"/>
      <c r="R93" s="237"/>
      <c r="S93" s="237"/>
      <c r="T93" s="237"/>
      <c r="U93" s="237"/>
      <c r="V93" s="237"/>
      <c r="W93" s="237"/>
      <c r="X93" s="237"/>
      <c r="Y93" s="237"/>
      <c r="Z93" s="237"/>
      <c r="AA93" s="237"/>
      <c r="AB93" s="237"/>
      <c r="AC93" s="237"/>
      <c r="AD93" s="237"/>
      <c r="AE93" s="237"/>
      <c r="AF93" s="237"/>
      <c r="AG93" s="237"/>
      <c r="AH93" s="237"/>
      <c r="AI93" s="237"/>
      <c r="AJ93" s="237"/>
      <c r="AK93" s="237"/>
      <c r="AL93" s="237"/>
      <c r="AM93" s="237"/>
      <c r="AN93" s="237"/>
      <c r="AO93" s="237"/>
      <c r="AP93" s="237"/>
      <c r="AQ93" s="250"/>
      <c r="AR93" s="250"/>
      <c r="AS93" s="250"/>
      <c r="AT93" s="250"/>
      <c r="AU93" s="250"/>
      <c r="AV93" s="250"/>
      <c r="AW93" s="250"/>
      <c r="AX93" s="250"/>
      <c r="AY93" s="250"/>
      <c r="AZ93" s="250"/>
      <c r="BA93" s="250"/>
      <c r="BB93" s="250"/>
      <c r="BC93" s="250"/>
      <c r="BD93" s="250"/>
      <c r="BE93" s="250"/>
      <c r="BF93" s="250"/>
      <c r="BG93" s="250"/>
      <c r="BH93" s="250"/>
      <c r="BI93" s="250"/>
      <c r="BJ93" s="250"/>
      <c r="BK93" s="250"/>
      <c r="BL93" s="250"/>
      <c r="BM93" s="250"/>
      <c r="BN93" s="250"/>
      <c r="BO93" s="250"/>
      <c r="BP93" s="250"/>
      <c r="BQ93" s="250"/>
      <c r="BR93" s="250"/>
      <c r="BS93" s="250"/>
      <c r="BT93" s="250"/>
      <c r="BU93" s="250"/>
      <c r="BV93" s="250"/>
      <c r="BW93" s="250"/>
      <c r="BX93" s="250"/>
      <c r="BY93" s="250"/>
      <c r="BZ93" s="250"/>
      <c r="CA93" s="250"/>
      <c r="CB93" s="250"/>
      <c r="CC93" s="250"/>
      <c r="CD93" s="250"/>
      <c r="CE93" s="250"/>
      <c r="CF93" s="250"/>
      <c r="CG93" s="250"/>
      <c r="CH93" s="250"/>
      <c r="CI93" s="250"/>
      <c r="CJ93" s="250"/>
      <c r="CK93" s="250"/>
      <c r="CL93" s="250"/>
      <c r="CM93" s="250"/>
      <c r="CN93" s="250"/>
      <c r="CO93" s="250"/>
      <c r="CP93" s="250"/>
      <c r="CQ93" s="250"/>
      <c r="CR93" s="250"/>
      <c r="CS93" s="250"/>
      <c r="CT93" s="250"/>
      <c r="CU93" s="250"/>
      <c r="CV93" s="250"/>
      <c r="CW93" s="250"/>
      <c r="CX93" s="250"/>
      <c r="CY93" s="250"/>
    </row>
    <row r="94" customFormat="1" customHeight="1" spans="1:103">
      <c r="A94" s="32" t="s">
        <v>146</v>
      </c>
      <c r="B94" s="32"/>
      <c r="C94" s="32"/>
      <c r="D94" s="32"/>
      <c r="E94" s="32"/>
      <c r="F94" s="56">
        <f>SUM(F89:F93)</f>
        <v>22725.51</v>
      </c>
      <c r="G94" s="56"/>
      <c r="H94" s="56"/>
      <c r="I94" s="56"/>
      <c r="J94" s="56"/>
      <c r="K94" s="56"/>
      <c r="L94" s="56"/>
      <c r="M94" s="56"/>
      <c r="N94" s="56"/>
      <c r="O94" s="11"/>
      <c r="P94" s="249"/>
      <c r="Q94" s="237"/>
      <c r="R94" s="237"/>
      <c r="S94" s="237"/>
      <c r="T94" s="237"/>
      <c r="U94" s="237"/>
      <c r="V94" s="237"/>
      <c r="W94" s="237"/>
      <c r="X94" s="237"/>
      <c r="Y94" s="237"/>
      <c r="Z94" s="237"/>
      <c r="AA94" s="237"/>
      <c r="AB94" s="237"/>
      <c r="AC94" s="237"/>
      <c r="AD94" s="237"/>
      <c r="AE94" s="237"/>
      <c r="AF94" s="237"/>
      <c r="AG94" s="237"/>
      <c r="AH94" s="237"/>
      <c r="AI94" s="237"/>
      <c r="AJ94" s="237"/>
      <c r="AK94" s="237"/>
      <c r="AL94" s="237"/>
      <c r="AM94" s="237"/>
      <c r="AN94" s="237"/>
      <c r="AO94" s="237"/>
      <c r="AP94" s="237"/>
      <c r="AQ94" s="250"/>
      <c r="AR94" s="250"/>
      <c r="AS94" s="250"/>
      <c r="AT94" s="250"/>
      <c r="AU94" s="250"/>
      <c r="AV94" s="250"/>
      <c r="AW94" s="250"/>
      <c r="AX94" s="250"/>
      <c r="AY94" s="250"/>
      <c r="AZ94" s="250"/>
      <c r="BA94" s="250"/>
      <c r="BB94" s="250"/>
      <c r="BC94" s="250"/>
      <c r="BD94" s="250"/>
      <c r="BE94" s="250"/>
      <c r="BF94" s="250"/>
      <c r="BG94" s="250"/>
      <c r="BH94" s="250"/>
      <c r="BI94" s="250"/>
      <c r="BJ94" s="250"/>
      <c r="BK94" s="250"/>
      <c r="BL94" s="250"/>
      <c r="BM94" s="250"/>
      <c r="BN94" s="250"/>
      <c r="BO94" s="250"/>
      <c r="BP94" s="250"/>
      <c r="BQ94" s="250"/>
      <c r="BR94" s="250"/>
      <c r="BS94" s="250"/>
      <c r="BT94" s="250"/>
      <c r="BU94" s="250"/>
      <c r="BV94" s="250"/>
      <c r="BW94" s="250"/>
      <c r="BX94" s="250"/>
      <c r="BY94" s="250"/>
      <c r="BZ94" s="250"/>
      <c r="CA94" s="250"/>
      <c r="CB94" s="250"/>
      <c r="CC94" s="250"/>
      <c r="CD94" s="250"/>
      <c r="CE94" s="250"/>
      <c r="CF94" s="250"/>
      <c r="CG94" s="250"/>
      <c r="CH94" s="250"/>
      <c r="CI94" s="250"/>
      <c r="CJ94" s="250"/>
      <c r="CK94" s="250"/>
      <c r="CL94" s="250"/>
      <c r="CM94" s="250"/>
      <c r="CN94" s="250"/>
      <c r="CO94" s="250"/>
      <c r="CP94" s="250"/>
      <c r="CQ94" s="250"/>
      <c r="CR94" s="250"/>
      <c r="CS94" s="250"/>
      <c r="CT94" s="250"/>
      <c r="CU94" s="250"/>
      <c r="CV94" s="250"/>
      <c r="CW94" s="250"/>
      <c r="CX94" s="250"/>
      <c r="CY94" s="250"/>
    </row>
    <row r="95" customFormat="1" customHeight="1" spans="1:103">
      <c r="A95" s="12"/>
      <c r="B95" s="12"/>
      <c r="C95" s="11"/>
      <c r="D95" s="11"/>
      <c r="E95" s="11"/>
      <c r="F95" s="11"/>
      <c r="G95" s="11"/>
      <c r="H95" s="11"/>
      <c r="I95" s="11"/>
      <c r="J95" s="11"/>
      <c r="K95" s="11"/>
      <c r="L95" s="11"/>
      <c r="M95" s="11"/>
      <c r="N95" s="11"/>
      <c r="O95" s="11"/>
      <c r="P95" s="249"/>
      <c r="Q95" s="237"/>
      <c r="R95" s="237"/>
      <c r="S95" s="237"/>
      <c r="T95" s="237"/>
      <c r="U95" s="237"/>
      <c r="V95" s="237"/>
      <c r="W95" s="237"/>
      <c r="X95" s="237"/>
      <c r="Y95" s="237"/>
      <c r="Z95" s="237"/>
      <c r="AA95" s="237"/>
      <c r="AB95" s="237"/>
      <c r="AC95" s="237"/>
      <c r="AD95" s="237"/>
      <c r="AE95" s="237"/>
      <c r="AF95" s="237"/>
      <c r="AG95" s="237"/>
      <c r="AH95" s="237"/>
      <c r="AI95" s="237"/>
      <c r="AJ95" s="237"/>
      <c r="AK95" s="237"/>
      <c r="AL95" s="237"/>
      <c r="AM95" s="237"/>
      <c r="AN95" s="237"/>
      <c r="AO95" s="237"/>
      <c r="AP95" s="237"/>
      <c r="AQ95" s="250"/>
      <c r="AR95" s="250"/>
      <c r="AS95" s="250"/>
      <c r="AT95" s="250"/>
      <c r="AU95" s="250"/>
      <c r="AV95" s="250"/>
      <c r="AW95" s="250"/>
      <c r="AX95" s="250"/>
      <c r="AY95" s="250"/>
      <c r="AZ95" s="250"/>
      <c r="BA95" s="250"/>
      <c r="BB95" s="250"/>
      <c r="BC95" s="250"/>
      <c r="BD95" s="250"/>
      <c r="BE95" s="250"/>
      <c r="BF95" s="250"/>
      <c r="BG95" s="250"/>
      <c r="BH95" s="250"/>
      <c r="BI95" s="250"/>
      <c r="BJ95" s="250"/>
      <c r="BK95" s="250"/>
      <c r="BL95" s="250"/>
      <c r="BM95" s="250"/>
      <c r="BN95" s="250"/>
      <c r="BO95" s="250"/>
      <c r="BP95" s="250"/>
      <c r="BQ95" s="250"/>
      <c r="BR95" s="250"/>
      <c r="BS95" s="250"/>
      <c r="BT95" s="250"/>
      <c r="BU95" s="250"/>
      <c r="BV95" s="250"/>
      <c r="BW95" s="250"/>
      <c r="BX95" s="250"/>
      <c r="BY95" s="250"/>
      <c r="BZ95" s="250"/>
      <c r="CA95" s="250"/>
      <c r="CB95" s="250"/>
      <c r="CC95" s="250"/>
      <c r="CD95" s="250"/>
      <c r="CE95" s="250"/>
      <c r="CF95" s="250"/>
      <c r="CG95" s="250"/>
      <c r="CH95" s="250"/>
      <c r="CI95" s="250"/>
      <c r="CJ95" s="250"/>
      <c r="CK95" s="250"/>
      <c r="CL95" s="250"/>
      <c r="CM95" s="250"/>
      <c r="CN95" s="250"/>
      <c r="CO95" s="250"/>
      <c r="CP95" s="250"/>
      <c r="CQ95" s="250"/>
      <c r="CR95" s="250"/>
      <c r="CS95" s="250"/>
      <c r="CT95" s="250"/>
      <c r="CU95" s="250"/>
      <c r="CV95" s="250"/>
      <c r="CW95" s="250"/>
      <c r="CX95" s="250"/>
      <c r="CY95" s="250"/>
    </row>
    <row r="96" customFormat="1" customHeight="1" spans="1:103">
      <c r="A96" s="12"/>
      <c r="B96" s="12"/>
      <c r="C96" s="11"/>
      <c r="D96" s="11"/>
      <c r="E96" s="11"/>
      <c r="F96" s="11"/>
      <c r="G96" s="11"/>
      <c r="H96" s="11"/>
      <c r="I96" s="11"/>
      <c r="J96" s="11"/>
      <c r="K96" s="11"/>
      <c r="L96" s="11"/>
      <c r="M96" s="11"/>
      <c r="N96" s="11"/>
      <c r="O96" s="11"/>
      <c r="P96" s="249"/>
      <c r="Q96" s="237"/>
      <c r="R96" s="237"/>
      <c r="S96" s="237"/>
      <c r="T96" s="237"/>
      <c r="U96" s="237"/>
      <c r="V96" s="237"/>
      <c r="W96" s="237"/>
      <c r="X96" s="237"/>
      <c r="Y96" s="237"/>
      <c r="Z96" s="237"/>
      <c r="AA96" s="237"/>
      <c r="AB96" s="237"/>
      <c r="AC96" s="237"/>
      <c r="AD96" s="237"/>
      <c r="AE96" s="237"/>
      <c r="AF96" s="237"/>
      <c r="AG96" s="237"/>
      <c r="AH96" s="237"/>
      <c r="AI96" s="237"/>
      <c r="AJ96" s="237"/>
      <c r="AK96" s="237"/>
      <c r="AL96" s="237"/>
      <c r="AM96" s="237"/>
      <c r="AN96" s="237"/>
      <c r="AO96" s="237"/>
      <c r="AP96" s="237"/>
      <c r="AQ96" s="250"/>
      <c r="AR96" s="250"/>
      <c r="AS96" s="250"/>
      <c r="AT96" s="250"/>
      <c r="AU96" s="250"/>
      <c r="AV96" s="250"/>
      <c r="AW96" s="250"/>
      <c r="AX96" s="250"/>
      <c r="AY96" s="250"/>
      <c r="AZ96" s="250"/>
      <c r="BA96" s="250"/>
      <c r="BB96" s="250"/>
      <c r="BC96" s="250"/>
      <c r="BD96" s="250"/>
      <c r="BE96" s="250"/>
      <c r="BF96" s="250"/>
      <c r="BG96" s="250"/>
      <c r="BH96" s="250"/>
      <c r="BI96" s="250"/>
      <c r="BJ96" s="250"/>
      <c r="BK96" s="250"/>
      <c r="BL96" s="250"/>
      <c r="BM96" s="250"/>
      <c r="BN96" s="250"/>
      <c r="BO96" s="250"/>
      <c r="BP96" s="250"/>
      <c r="BQ96" s="250"/>
      <c r="BR96" s="250"/>
      <c r="BS96" s="250"/>
      <c r="BT96" s="250"/>
      <c r="BU96" s="250"/>
      <c r="BV96" s="250"/>
      <c r="BW96" s="250"/>
      <c r="BX96" s="250"/>
      <c r="BY96" s="250"/>
      <c r="BZ96" s="250"/>
      <c r="CA96" s="250"/>
      <c r="CB96" s="250"/>
      <c r="CC96" s="250"/>
      <c r="CD96" s="250"/>
      <c r="CE96" s="250"/>
      <c r="CF96" s="250"/>
      <c r="CG96" s="250"/>
      <c r="CH96" s="250"/>
      <c r="CI96" s="250"/>
      <c r="CJ96" s="250"/>
      <c r="CK96" s="250"/>
      <c r="CL96" s="250"/>
      <c r="CM96" s="250"/>
      <c r="CN96" s="250"/>
      <c r="CO96" s="250"/>
      <c r="CP96" s="250"/>
      <c r="CQ96" s="250"/>
      <c r="CR96" s="250"/>
      <c r="CS96" s="250"/>
      <c r="CT96" s="250"/>
      <c r="CU96" s="250"/>
      <c r="CV96" s="250"/>
      <c r="CW96" s="250"/>
      <c r="CX96" s="250"/>
      <c r="CY96" s="250"/>
    </row>
    <row r="97" customFormat="1" customHeight="1" spans="1:103">
      <c r="A97" s="12"/>
      <c r="B97" s="12"/>
      <c r="C97" s="11"/>
      <c r="D97" s="11"/>
      <c r="E97" s="11"/>
      <c r="F97" s="11"/>
      <c r="G97" s="11"/>
      <c r="H97" s="11"/>
      <c r="I97" s="11"/>
      <c r="J97" s="11"/>
      <c r="K97" s="11"/>
      <c r="L97" s="11"/>
      <c r="M97" s="11"/>
      <c r="N97" s="11"/>
      <c r="O97" s="11"/>
      <c r="P97" s="249"/>
      <c r="Q97" s="237"/>
      <c r="R97" s="237"/>
      <c r="S97" s="237"/>
      <c r="T97" s="237"/>
      <c r="U97" s="237"/>
      <c r="V97" s="237"/>
      <c r="W97" s="237"/>
      <c r="X97" s="237"/>
      <c r="Y97" s="237"/>
      <c r="Z97" s="237"/>
      <c r="AA97" s="237"/>
      <c r="AB97" s="237"/>
      <c r="AC97" s="237"/>
      <c r="AD97" s="237"/>
      <c r="AE97" s="237"/>
      <c r="AF97" s="237"/>
      <c r="AG97" s="237"/>
      <c r="AH97" s="237"/>
      <c r="AI97" s="237"/>
      <c r="AJ97" s="237"/>
      <c r="AK97" s="237"/>
      <c r="AL97" s="237"/>
      <c r="AM97" s="237"/>
      <c r="AN97" s="237"/>
      <c r="AO97" s="237"/>
      <c r="AP97" s="237"/>
      <c r="AQ97" s="250"/>
      <c r="AR97" s="250"/>
      <c r="AS97" s="250"/>
      <c r="AT97" s="250"/>
      <c r="AU97" s="250"/>
      <c r="AV97" s="250"/>
      <c r="AW97" s="250"/>
      <c r="AX97" s="250"/>
      <c r="AY97" s="250"/>
      <c r="AZ97" s="250"/>
      <c r="BA97" s="250"/>
      <c r="BB97" s="250"/>
      <c r="BC97" s="250"/>
      <c r="BD97" s="250"/>
      <c r="BE97" s="250"/>
      <c r="BF97" s="250"/>
      <c r="BG97" s="250"/>
      <c r="BH97" s="250"/>
      <c r="BI97" s="250"/>
      <c r="BJ97" s="250"/>
      <c r="BK97" s="250"/>
      <c r="BL97" s="250"/>
      <c r="BM97" s="250"/>
      <c r="BN97" s="250"/>
      <c r="BO97" s="250"/>
      <c r="BP97" s="250"/>
      <c r="BQ97" s="250"/>
      <c r="BR97" s="250"/>
      <c r="BS97" s="250"/>
      <c r="BT97" s="250"/>
      <c r="BU97" s="250"/>
      <c r="BV97" s="250"/>
      <c r="BW97" s="250"/>
      <c r="BX97" s="250"/>
      <c r="BY97" s="250"/>
      <c r="BZ97" s="250"/>
      <c r="CA97" s="250"/>
      <c r="CB97" s="250"/>
      <c r="CC97" s="250"/>
      <c r="CD97" s="250"/>
      <c r="CE97" s="250"/>
      <c r="CF97" s="250"/>
      <c r="CG97" s="250"/>
      <c r="CH97" s="250"/>
      <c r="CI97" s="250"/>
      <c r="CJ97" s="250"/>
      <c r="CK97" s="250"/>
      <c r="CL97" s="250"/>
      <c r="CM97" s="250"/>
      <c r="CN97" s="250"/>
      <c r="CO97" s="250"/>
      <c r="CP97" s="250"/>
      <c r="CQ97" s="250"/>
      <c r="CR97" s="250"/>
      <c r="CS97" s="250"/>
      <c r="CT97" s="250"/>
      <c r="CU97" s="250"/>
      <c r="CV97" s="250"/>
      <c r="CW97" s="250"/>
      <c r="CX97" s="250"/>
      <c r="CY97" s="250"/>
    </row>
    <row r="98" customFormat="1" customHeight="1" spans="1:103">
      <c r="A98" s="12"/>
      <c r="B98" s="12"/>
      <c r="C98" s="11"/>
      <c r="D98" s="11"/>
      <c r="E98" s="11"/>
      <c r="F98" s="11"/>
      <c r="G98" s="11"/>
      <c r="H98" s="11"/>
      <c r="I98" s="11"/>
      <c r="J98" s="11"/>
      <c r="K98" s="11"/>
      <c r="L98" s="11"/>
      <c r="M98" s="11"/>
      <c r="N98" s="11"/>
      <c r="O98" s="11"/>
      <c r="P98" s="249"/>
      <c r="Q98" s="237"/>
      <c r="R98" s="237"/>
      <c r="S98" s="237"/>
      <c r="T98" s="237"/>
      <c r="U98" s="237"/>
      <c r="V98" s="237"/>
      <c r="W98" s="237"/>
      <c r="X98" s="237"/>
      <c r="Y98" s="237"/>
      <c r="Z98" s="237"/>
      <c r="AA98" s="237"/>
      <c r="AB98" s="237"/>
      <c r="AC98" s="237"/>
      <c r="AD98" s="237"/>
      <c r="AE98" s="237"/>
      <c r="AF98" s="237"/>
      <c r="AG98" s="237"/>
      <c r="AH98" s="237"/>
      <c r="AI98" s="237"/>
      <c r="AJ98" s="237"/>
      <c r="AK98" s="237"/>
      <c r="AL98" s="237"/>
      <c r="AM98" s="237"/>
      <c r="AN98" s="237"/>
      <c r="AO98" s="237"/>
      <c r="AP98" s="237"/>
      <c r="AQ98" s="250"/>
      <c r="AR98" s="250"/>
      <c r="AS98" s="250"/>
      <c r="AT98" s="250"/>
      <c r="AU98" s="250"/>
      <c r="AV98" s="250"/>
      <c r="AW98" s="250"/>
      <c r="AX98" s="250"/>
      <c r="AY98" s="250"/>
      <c r="AZ98" s="250"/>
      <c r="BA98" s="250"/>
      <c r="BB98" s="250"/>
      <c r="BC98" s="250"/>
      <c r="BD98" s="250"/>
      <c r="BE98" s="250"/>
      <c r="BF98" s="250"/>
      <c r="BG98" s="250"/>
      <c r="BH98" s="250"/>
      <c r="BI98" s="250"/>
      <c r="BJ98" s="250"/>
      <c r="BK98" s="250"/>
      <c r="BL98" s="250"/>
      <c r="BM98" s="250"/>
      <c r="BN98" s="250"/>
      <c r="BO98" s="250"/>
      <c r="BP98" s="250"/>
      <c r="BQ98" s="250"/>
      <c r="BR98" s="250"/>
      <c r="BS98" s="250"/>
      <c r="BT98" s="250"/>
      <c r="BU98" s="250"/>
      <c r="BV98" s="250"/>
      <c r="BW98" s="250"/>
      <c r="BX98" s="250"/>
      <c r="BY98" s="250"/>
      <c r="BZ98" s="250"/>
      <c r="CA98" s="250"/>
      <c r="CB98" s="250"/>
      <c r="CC98" s="250"/>
      <c r="CD98" s="250"/>
      <c r="CE98" s="250"/>
      <c r="CF98" s="250"/>
      <c r="CG98" s="250"/>
      <c r="CH98" s="250"/>
      <c r="CI98" s="250"/>
      <c r="CJ98" s="250"/>
      <c r="CK98" s="250"/>
      <c r="CL98" s="250"/>
      <c r="CM98" s="250"/>
      <c r="CN98" s="250"/>
      <c r="CO98" s="250"/>
      <c r="CP98" s="250"/>
      <c r="CQ98" s="250"/>
      <c r="CR98" s="250"/>
      <c r="CS98" s="250"/>
      <c r="CT98" s="250"/>
      <c r="CU98" s="250"/>
      <c r="CV98" s="250"/>
      <c r="CW98" s="250"/>
      <c r="CX98" s="250"/>
      <c r="CY98" s="250"/>
    </row>
    <row r="99" customFormat="1" customHeight="1" spans="1:103">
      <c r="A99" s="12"/>
      <c r="B99" s="12"/>
      <c r="C99" s="11"/>
      <c r="D99" s="11"/>
      <c r="E99" s="11"/>
      <c r="F99" s="11"/>
      <c r="G99" s="11"/>
      <c r="H99" s="11"/>
      <c r="I99" s="11"/>
      <c r="J99" s="11"/>
      <c r="K99" s="11"/>
      <c r="L99" s="11"/>
      <c r="M99" s="11"/>
      <c r="N99" s="11"/>
      <c r="O99" s="11"/>
      <c r="P99" s="249"/>
      <c r="Q99" s="237"/>
      <c r="R99" s="237"/>
      <c r="S99" s="237"/>
      <c r="T99" s="237"/>
      <c r="U99" s="237"/>
      <c r="V99" s="237"/>
      <c r="W99" s="237"/>
      <c r="X99" s="237"/>
      <c r="Y99" s="237"/>
      <c r="Z99" s="237"/>
      <c r="AA99" s="237"/>
      <c r="AB99" s="237"/>
      <c r="AC99" s="237"/>
      <c r="AD99" s="237"/>
      <c r="AE99" s="237"/>
      <c r="AF99" s="237"/>
      <c r="AG99" s="237"/>
      <c r="AH99" s="237"/>
      <c r="AI99" s="237"/>
      <c r="AJ99" s="237"/>
      <c r="AK99" s="237"/>
      <c r="AL99" s="237"/>
      <c r="AM99" s="237"/>
      <c r="AN99" s="237"/>
      <c r="AO99" s="237"/>
      <c r="AP99" s="237"/>
      <c r="AQ99" s="250"/>
      <c r="AR99" s="250"/>
      <c r="AS99" s="250"/>
      <c r="AT99" s="250"/>
      <c r="AU99" s="250"/>
      <c r="AV99" s="250"/>
      <c r="AW99" s="250"/>
      <c r="AX99" s="250"/>
      <c r="AY99" s="250"/>
      <c r="AZ99" s="250"/>
      <c r="BA99" s="250"/>
      <c r="BB99" s="250"/>
      <c r="BC99" s="250"/>
      <c r="BD99" s="250"/>
      <c r="BE99" s="250"/>
      <c r="BF99" s="250"/>
      <c r="BG99" s="250"/>
      <c r="BH99" s="250"/>
      <c r="BI99" s="250"/>
      <c r="BJ99" s="250"/>
      <c r="BK99" s="250"/>
      <c r="BL99" s="250"/>
      <c r="BM99" s="250"/>
      <c r="BN99" s="250"/>
      <c r="BO99" s="250"/>
      <c r="BP99" s="250"/>
      <c r="BQ99" s="250"/>
      <c r="BR99" s="250"/>
      <c r="BS99" s="250"/>
      <c r="BT99" s="250"/>
      <c r="BU99" s="250"/>
      <c r="BV99" s="250"/>
      <c r="BW99" s="250"/>
      <c r="BX99" s="250"/>
      <c r="BY99" s="250"/>
      <c r="BZ99" s="250"/>
      <c r="CA99" s="250"/>
      <c r="CB99" s="250"/>
      <c r="CC99" s="250"/>
      <c r="CD99" s="250"/>
      <c r="CE99" s="250"/>
      <c r="CF99" s="250"/>
      <c r="CG99" s="250"/>
      <c r="CH99" s="250"/>
      <c r="CI99" s="250"/>
      <c r="CJ99" s="250"/>
      <c r="CK99" s="250"/>
      <c r="CL99" s="250"/>
      <c r="CM99" s="250"/>
      <c r="CN99" s="250"/>
      <c r="CO99" s="250"/>
      <c r="CP99" s="250"/>
      <c r="CQ99" s="250"/>
      <c r="CR99" s="250"/>
      <c r="CS99" s="250"/>
      <c r="CT99" s="250"/>
      <c r="CU99" s="250"/>
      <c r="CV99" s="250"/>
      <c r="CW99" s="250"/>
      <c r="CX99" s="250"/>
      <c r="CY99" s="250"/>
    </row>
    <row r="100" customFormat="1" customHeight="1" spans="1:103">
      <c r="A100" s="12"/>
      <c r="B100" s="12"/>
      <c r="C100" s="11"/>
      <c r="D100" s="11"/>
      <c r="E100" s="11"/>
      <c r="F100" s="11"/>
      <c r="G100" s="11"/>
      <c r="H100" s="11"/>
      <c r="I100" s="11"/>
      <c r="J100" s="11"/>
      <c r="K100" s="11"/>
      <c r="L100" s="11"/>
      <c r="M100" s="11"/>
      <c r="N100" s="11"/>
      <c r="O100" s="11"/>
      <c r="P100" s="249"/>
      <c r="Q100" s="237"/>
      <c r="R100" s="237"/>
      <c r="S100" s="237"/>
      <c r="T100" s="237"/>
      <c r="U100" s="237"/>
      <c r="V100" s="237"/>
      <c r="W100" s="237"/>
      <c r="X100" s="237"/>
      <c r="Y100" s="237"/>
      <c r="Z100" s="237"/>
      <c r="AA100" s="237"/>
      <c r="AB100" s="237"/>
      <c r="AC100" s="237"/>
      <c r="AD100" s="237"/>
      <c r="AE100" s="237"/>
      <c r="AF100" s="237"/>
      <c r="AG100" s="237"/>
      <c r="AH100" s="237"/>
      <c r="AI100" s="237"/>
      <c r="AJ100" s="237"/>
      <c r="AK100" s="237"/>
      <c r="AL100" s="237"/>
      <c r="AM100" s="237"/>
      <c r="AN100" s="237"/>
      <c r="AO100" s="237"/>
      <c r="AP100" s="237"/>
      <c r="AQ100" s="250"/>
      <c r="AR100" s="250"/>
      <c r="AS100" s="250"/>
      <c r="AT100" s="250"/>
      <c r="AU100" s="250"/>
      <c r="AV100" s="250"/>
      <c r="AW100" s="250"/>
      <c r="AX100" s="250"/>
      <c r="AY100" s="250"/>
      <c r="AZ100" s="250"/>
      <c r="BA100" s="250"/>
      <c r="BB100" s="250"/>
      <c r="BC100" s="250"/>
      <c r="BD100" s="250"/>
      <c r="BE100" s="250"/>
      <c r="BF100" s="250"/>
      <c r="BG100" s="250"/>
      <c r="BH100" s="250"/>
      <c r="BI100" s="250"/>
      <c r="BJ100" s="250"/>
      <c r="BK100" s="250"/>
      <c r="BL100" s="250"/>
      <c r="BM100" s="250"/>
      <c r="BN100" s="250"/>
      <c r="BO100" s="250"/>
      <c r="BP100" s="250"/>
      <c r="BQ100" s="250"/>
      <c r="BR100" s="250"/>
      <c r="BS100" s="250"/>
      <c r="BT100" s="250"/>
      <c r="BU100" s="250"/>
      <c r="BV100" s="250"/>
      <c r="BW100" s="250"/>
      <c r="BX100" s="250"/>
      <c r="BY100" s="250"/>
      <c r="BZ100" s="250"/>
      <c r="CA100" s="250"/>
      <c r="CB100" s="250"/>
      <c r="CC100" s="250"/>
      <c r="CD100" s="250"/>
      <c r="CE100" s="250"/>
      <c r="CF100" s="250"/>
      <c r="CG100" s="250"/>
      <c r="CH100" s="250"/>
      <c r="CI100" s="250"/>
      <c r="CJ100" s="250"/>
      <c r="CK100" s="250"/>
      <c r="CL100" s="250"/>
      <c r="CM100" s="250"/>
      <c r="CN100" s="250"/>
      <c r="CO100" s="250"/>
      <c r="CP100" s="250"/>
      <c r="CQ100" s="250"/>
      <c r="CR100" s="250"/>
      <c r="CS100" s="250"/>
      <c r="CT100" s="250"/>
      <c r="CU100" s="250"/>
      <c r="CV100" s="250"/>
      <c r="CW100" s="250"/>
      <c r="CX100" s="250"/>
      <c r="CY100" s="250"/>
    </row>
    <row r="101" customFormat="1" customHeight="1" spans="1:103">
      <c r="A101" s="12"/>
      <c r="B101" s="12"/>
      <c r="C101" s="11"/>
      <c r="D101" s="11"/>
      <c r="E101" s="11"/>
      <c r="F101" s="11"/>
      <c r="G101" s="11"/>
      <c r="H101" s="11"/>
      <c r="I101" s="11"/>
      <c r="J101" s="11"/>
      <c r="K101" s="11"/>
      <c r="L101" s="11"/>
      <c r="M101" s="11"/>
      <c r="N101" s="11"/>
      <c r="O101" s="11"/>
      <c r="P101" s="249"/>
      <c r="Q101" s="237"/>
      <c r="R101" s="237"/>
      <c r="S101" s="237"/>
      <c r="T101" s="237"/>
      <c r="U101" s="237"/>
      <c r="V101" s="237"/>
      <c r="W101" s="237"/>
      <c r="X101" s="237"/>
      <c r="Y101" s="237"/>
      <c r="Z101" s="237"/>
      <c r="AA101" s="237"/>
      <c r="AB101" s="237"/>
      <c r="AC101" s="237"/>
      <c r="AD101" s="237"/>
      <c r="AE101" s="237"/>
      <c r="AF101" s="237"/>
      <c r="AG101" s="237"/>
      <c r="AH101" s="237"/>
      <c r="AI101" s="237"/>
      <c r="AJ101" s="237"/>
      <c r="AK101" s="237"/>
      <c r="AL101" s="237"/>
      <c r="AM101" s="237"/>
      <c r="AN101" s="237"/>
      <c r="AO101" s="237"/>
      <c r="AP101" s="237"/>
      <c r="AQ101" s="250"/>
      <c r="AR101" s="250"/>
      <c r="AS101" s="250"/>
      <c r="AT101" s="250"/>
      <c r="AU101" s="250"/>
      <c r="AV101" s="250"/>
      <c r="AW101" s="250"/>
      <c r="AX101" s="250"/>
      <c r="AY101" s="250"/>
      <c r="AZ101" s="250"/>
      <c r="BA101" s="250"/>
      <c r="BB101" s="250"/>
      <c r="BC101" s="250"/>
      <c r="BD101" s="250"/>
      <c r="BE101" s="250"/>
      <c r="BF101" s="250"/>
      <c r="BG101" s="250"/>
      <c r="BH101" s="250"/>
      <c r="BI101" s="250"/>
      <c r="BJ101" s="250"/>
      <c r="BK101" s="250"/>
      <c r="BL101" s="250"/>
      <c r="BM101" s="250"/>
      <c r="BN101" s="250"/>
      <c r="BO101" s="250"/>
      <c r="BP101" s="250"/>
      <c r="BQ101" s="250"/>
      <c r="BR101" s="250"/>
      <c r="BS101" s="250"/>
      <c r="BT101" s="250"/>
      <c r="BU101" s="250"/>
      <c r="BV101" s="250"/>
      <c r="BW101" s="250"/>
      <c r="BX101" s="250"/>
      <c r="BY101" s="250"/>
      <c r="BZ101" s="250"/>
      <c r="CA101" s="250"/>
      <c r="CB101" s="250"/>
      <c r="CC101" s="250"/>
      <c r="CD101" s="250"/>
      <c r="CE101" s="250"/>
      <c r="CF101" s="250"/>
      <c r="CG101" s="250"/>
      <c r="CH101" s="250"/>
      <c r="CI101" s="250"/>
      <c r="CJ101" s="250"/>
      <c r="CK101" s="250"/>
      <c r="CL101" s="250"/>
      <c r="CM101" s="250"/>
      <c r="CN101" s="250"/>
      <c r="CO101" s="250"/>
      <c r="CP101" s="250"/>
      <c r="CQ101" s="250"/>
      <c r="CR101" s="250"/>
      <c r="CS101" s="250"/>
      <c r="CT101" s="250"/>
      <c r="CU101" s="250"/>
      <c r="CV101" s="250"/>
      <c r="CW101" s="250"/>
      <c r="CX101" s="250"/>
      <c r="CY101" s="250"/>
    </row>
    <row r="102" customFormat="1" customHeight="1" spans="1:103">
      <c r="A102" s="12"/>
      <c r="B102" s="12"/>
      <c r="C102" s="11"/>
      <c r="D102" s="11"/>
      <c r="E102" s="11"/>
      <c r="F102" s="11"/>
      <c r="G102" s="11"/>
      <c r="H102" s="11"/>
      <c r="I102" s="11"/>
      <c r="J102" s="11"/>
      <c r="K102" s="11"/>
      <c r="L102" s="11"/>
      <c r="M102" s="11"/>
      <c r="N102" s="11"/>
      <c r="O102" s="11"/>
      <c r="P102" s="249"/>
      <c r="Q102" s="237"/>
      <c r="R102" s="237"/>
      <c r="S102" s="237"/>
      <c r="T102" s="237"/>
      <c r="U102" s="237"/>
      <c r="V102" s="237"/>
      <c r="W102" s="237"/>
      <c r="X102" s="237"/>
      <c r="Y102" s="237"/>
      <c r="Z102" s="237"/>
      <c r="AA102" s="237"/>
      <c r="AB102" s="237"/>
      <c r="AC102" s="237"/>
      <c r="AD102" s="237"/>
      <c r="AE102" s="237"/>
      <c r="AF102" s="237"/>
      <c r="AG102" s="237"/>
      <c r="AH102" s="237"/>
      <c r="AI102" s="237"/>
      <c r="AJ102" s="237"/>
      <c r="AK102" s="237"/>
      <c r="AL102" s="237"/>
      <c r="AM102" s="237"/>
      <c r="AN102" s="237"/>
      <c r="AO102" s="237"/>
      <c r="AP102" s="237"/>
      <c r="AQ102" s="250"/>
      <c r="AR102" s="250"/>
      <c r="AS102" s="250"/>
      <c r="AT102" s="250"/>
      <c r="AU102" s="250"/>
      <c r="AV102" s="250"/>
      <c r="AW102" s="250"/>
      <c r="AX102" s="250"/>
      <c r="AY102" s="250"/>
      <c r="AZ102" s="250"/>
      <c r="BA102" s="250"/>
      <c r="BB102" s="250"/>
      <c r="BC102" s="250"/>
      <c r="BD102" s="250"/>
      <c r="BE102" s="250"/>
      <c r="BF102" s="250"/>
      <c r="BG102" s="250"/>
      <c r="BH102" s="250"/>
      <c r="BI102" s="250"/>
      <c r="BJ102" s="250"/>
      <c r="BK102" s="250"/>
      <c r="BL102" s="250"/>
      <c r="BM102" s="250"/>
      <c r="BN102" s="250"/>
      <c r="BO102" s="250"/>
      <c r="BP102" s="250"/>
      <c r="BQ102" s="250"/>
      <c r="BR102" s="250"/>
      <c r="BS102" s="250"/>
      <c r="BT102" s="250"/>
      <c r="BU102" s="250"/>
      <c r="BV102" s="250"/>
      <c r="BW102" s="250"/>
      <c r="BX102" s="250"/>
      <c r="BY102" s="250"/>
      <c r="BZ102" s="250"/>
      <c r="CA102" s="250"/>
      <c r="CB102" s="250"/>
      <c r="CC102" s="250"/>
      <c r="CD102" s="250"/>
      <c r="CE102" s="250"/>
      <c r="CF102" s="250"/>
      <c r="CG102" s="250"/>
      <c r="CH102" s="250"/>
      <c r="CI102" s="250"/>
      <c r="CJ102" s="250"/>
      <c r="CK102" s="250"/>
      <c r="CL102" s="250"/>
      <c r="CM102" s="250"/>
      <c r="CN102" s="250"/>
      <c r="CO102" s="250"/>
      <c r="CP102" s="250"/>
      <c r="CQ102" s="250"/>
      <c r="CR102" s="250"/>
      <c r="CS102" s="250"/>
      <c r="CT102" s="250"/>
      <c r="CU102" s="250"/>
      <c r="CV102" s="250"/>
      <c r="CW102" s="250"/>
      <c r="CX102" s="250"/>
      <c r="CY102" s="250"/>
    </row>
    <row r="103" customFormat="1" customHeight="1" spans="1:103">
      <c r="A103" s="12"/>
      <c r="B103" s="12"/>
      <c r="C103" s="11"/>
      <c r="D103" s="11"/>
      <c r="E103" s="11"/>
      <c r="F103" s="11"/>
      <c r="G103" s="11"/>
      <c r="H103" s="11"/>
      <c r="I103" s="11"/>
      <c r="J103" s="11"/>
      <c r="K103" s="11"/>
      <c r="L103" s="11"/>
      <c r="M103" s="11"/>
      <c r="N103" s="11"/>
      <c r="O103" s="11"/>
      <c r="P103" s="249"/>
      <c r="Q103" s="237"/>
      <c r="R103" s="237"/>
      <c r="S103" s="237"/>
      <c r="T103" s="237"/>
      <c r="U103" s="237"/>
      <c r="V103" s="237"/>
      <c r="W103" s="237"/>
      <c r="X103" s="237"/>
      <c r="Y103" s="237"/>
      <c r="Z103" s="237"/>
      <c r="AA103" s="237"/>
      <c r="AB103" s="237"/>
      <c r="AC103" s="237"/>
      <c r="AD103" s="237"/>
      <c r="AE103" s="237"/>
      <c r="AF103" s="237"/>
      <c r="AG103" s="237"/>
      <c r="AH103" s="237"/>
      <c r="AI103" s="237"/>
      <c r="AJ103" s="237"/>
      <c r="AK103" s="237"/>
      <c r="AL103" s="237"/>
      <c r="AM103" s="237"/>
      <c r="AN103" s="237"/>
      <c r="AO103" s="237"/>
      <c r="AP103" s="237"/>
      <c r="AQ103" s="250"/>
      <c r="AR103" s="250"/>
      <c r="AS103" s="250"/>
      <c r="AT103" s="250"/>
      <c r="AU103" s="250"/>
      <c r="AV103" s="250"/>
      <c r="AW103" s="250"/>
      <c r="AX103" s="250"/>
      <c r="AY103" s="250"/>
      <c r="AZ103" s="250"/>
      <c r="BA103" s="250"/>
      <c r="BB103" s="250"/>
      <c r="BC103" s="250"/>
      <c r="BD103" s="250"/>
      <c r="BE103" s="250"/>
      <c r="BF103" s="250"/>
      <c r="BG103" s="250"/>
      <c r="BH103" s="250"/>
      <c r="BI103" s="250"/>
      <c r="BJ103" s="250"/>
      <c r="BK103" s="250"/>
      <c r="BL103" s="250"/>
      <c r="BM103" s="250"/>
      <c r="BN103" s="250"/>
      <c r="BO103" s="250"/>
      <c r="BP103" s="250"/>
      <c r="BQ103" s="250"/>
      <c r="BR103" s="250"/>
      <c r="BS103" s="250"/>
      <c r="BT103" s="250"/>
      <c r="BU103" s="250"/>
      <c r="BV103" s="250"/>
      <c r="BW103" s="250"/>
      <c r="BX103" s="250"/>
      <c r="BY103" s="250"/>
      <c r="BZ103" s="250"/>
      <c r="CA103" s="250"/>
      <c r="CB103" s="250"/>
      <c r="CC103" s="250"/>
      <c r="CD103" s="250"/>
      <c r="CE103" s="250"/>
      <c r="CF103" s="250"/>
      <c r="CG103" s="250"/>
      <c r="CH103" s="250"/>
      <c r="CI103" s="250"/>
      <c r="CJ103" s="250"/>
      <c r="CK103" s="250"/>
      <c r="CL103" s="250"/>
      <c r="CM103" s="250"/>
      <c r="CN103" s="250"/>
      <c r="CO103" s="250"/>
      <c r="CP103" s="250"/>
      <c r="CQ103" s="250"/>
      <c r="CR103" s="250"/>
      <c r="CS103" s="250"/>
      <c r="CT103" s="250"/>
      <c r="CU103" s="250"/>
      <c r="CV103" s="250"/>
      <c r="CW103" s="250"/>
      <c r="CX103" s="250"/>
      <c r="CY103" s="250"/>
    </row>
    <row r="104" customFormat="1" customHeight="1" spans="1:103">
      <c r="A104" s="12"/>
      <c r="B104" s="12"/>
      <c r="C104" s="11"/>
      <c r="D104" s="11"/>
      <c r="E104" s="11"/>
      <c r="F104" s="11"/>
      <c r="G104" s="11"/>
      <c r="H104" s="11"/>
      <c r="I104" s="11"/>
      <c r="J104" s="11"/>
      <c r="K104" s="11"/>
      <c r="L104" s="11"/>
      <c r="M104" s="11"/>
      <c r="N104" s="11"/>
      <c r="O104" s="11"/>
      <c r="P104" s="249"/>
      <c r="Q104" s="237"/>
      <c r="R104" s="237"/>
      <c r="S104" s="237"/>
      <c r="T104" s="237"/>
      <c r="U104" s="237"/>
      <c r="V104" s="237"/>
      <c r="W104" s="237"/>
      <c r="X104" s="237"/>
      <c r="Y104" s="237"/>
      <c r="Z104" s="237"/>
      <c r="AA104" s="237"/>
      <c r="AB104" s="237"/>
      <c r="AC104" s="237"/>
      <c r="AD104" s="237"/>
      <c r="AE104" s="237"/>
      <c r="AF104" s="237"/>
      <c r="AG104" s="237"/>
      <c r="AH104" s="237"/>
      <c r="AI104" s="237"/>
      <c r="AJ104" s="237"/>
      <c r="AK104" s="237"/>
      <c r="AL104" s="237"/>
      <c r="AM104" s="237"/>
      <c r="AN104" s="237"/>
      <c r="AO104" s="237"/>
      <c r="AP104" s="237"/>
      <c r="AQ104" s="250"/>
      <c r="AR104" s="250"/>
      <c r="AS104" s="250"/>
      <c r="AT104" s="250"/>
      <c r="AU104" s="250"/>
      <c r="AV104" s="250"/>
      <c r="AW104" s="250"/>
      <c r="AX104" s="250"/>
      <c r="AY104" s="250"/>
      <c r="AZ104" s="250"/>
      <c r="BA104" s="250"/>
      <c r="BB104" s="250"/>
      <c r="BC104" s="250"/>
      <c r="BD104" s="250"/>
      <c r="BE104" s="250"/>
      <c r="BF104" s="250"/>
      <c r="BG104" s="250"/>
      <c r="BH104" s="250"/>
      <c r="BI104" s="250"/>
      <c r="BJ104" s="250"/>
      <c r="BK104" s="250"/>
      <c r="BL104" s="250"/>
      <c r="BM104" s="250"/>
      <c r="BN104" s="250"/>
      <c r="BO104" s="250"/>
      <c r="BP104" s="250"/>
      <c r="BQ104" s="250"/>
      <c r="BR104" s="250"/>
      <c r="BS104" s="250"/>
      <c r="BT104" s="250"/>
      <c r="BU104" s="250"/>
      <c r="BV104" s="250"/>
      <c r="BW104" s="250"/>
      <c r="BX104" s="250"/>
      <c r="BY104" s="250"/>
      <c r="BZ104" s="250"/>
      <c r="CA104" s="250"/>
      <c r="CB104" s="250"/>
      <c r="CC104" s="250"/>
      <c r="CD104" s="250"/>
      <c r="CE104" s="250"/>
      <c r="CF104" s="250"/>
      <c r="CG104" s="250"/>
      <c r="CH104" s="250"/>
      <c r="CI104" s="250"/>
      <c r="CJ104" s="250"/>
      <c r="CK104" s="250"/>
      <c r="CL104" s="250"/>
      <c r="CM104" s="250"/>
      <c r="CN104" s="250"/>
      <c r="CO104" s="250"/>
      <c r="CP104" s="250"/>
      <c r="CQ104" s="250"/>
      <c r="CR104" s="250"/>
      <c r="CS104" s="250"/>
      <c r="CT104" s="250"/>
      <c r="CU104" s="250"/>
      <c r="CV104" s="250"/>
      <c r="CW104" s="250"/>
      <c r="CX104" s="250"/>
      <c r="CY104" s="250"/>
    </row>
  </sheetData>
  <mergeCells count="26">
    <mergeCell ref="A1:P1"/>
    <mergeCell ref="A39:P39"/>
    <mergeCell ref="A42:P42"/>
    <mergeCell ref="A46:P46"/>
    <mergeCell ref="A86:C86"/>
    <mergeCell ref="E86:M86"/>
    <mergeCell ref="F88:N88"/>
    <mergeCell ref="F89:N89"/>
    <mergeCell ref="F90:N90"/>
    <mergeCell ref="F91:N91"/>
    <mergeCell ref="F92:N92"/>
    <mergeCell ref="F93:N93"/>
    <mergeCell ref="A94:E94"/>
    <mergeCell ref="F94:N94"/>
    <mergeCell ref="A3:A22"/>
    <mergeCell ref="D3:D22"/>
    <mergeCell ref="E3:E22"/>
    <mergeCell ref="F3:F22"/>
    <mergeCell ref="J3:J22"/>
    <mergeCell ref="K3:K22"/>
    <mergeCell ref="L3:L22"/>
    <mergeCell ref="M3:M22"/>
    <mergeCell ref="N3:N22"/>
    <mergeCell ref="O3:O22"/>
    <mergeCell ref="P3:P22"/>
    <mergeCell ref="Q48:Q55"/>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164"/>
  <sheetViews>
    <sheetView zoomScale="55" zoomScaleNormal="55" workbookViewId="0">
      <selection activeCell="N36" sqref="N36"/>
    </sheetView>
  </sheetViews>
  <sheetFormatPr defaultColWidth="9" defaultRowHeight="32" customHeight="1"/>
  <cols>
    <col min="1" max="1" width="14.1640625" style="12" customWidth="1"/>
    <col min="2" max="2" width="15.5" style="12" customWidth="1"/>
    <col min="3" max="3" width="19.5" style="12" customWidth="1"/>
    <col min="4" max="4" width="7.5" style="12" customWidth="1"/>
    <col min="5" max="5" width="12.6640625" style="12" customWidth="1"/>
    <col min="6" max="6" width="7.5" style="12" customWidth="1"/>
    <col min="7" max="7" width="9.6640625" style="12" customWidth="1"/>
    <col min="8" max="8" width="15.1640625" style="12" customWidth="1"/>
    <col min="9" max="10" width="14.1640625" style="12" customWidth="1"/>
    <col min="11" max="11" width="20.3359375" style="12" customWidth="1"/>
    <col min="12" max="12" width="14.1640625" style="12" customWidth="1"/>
    <col min="13" max="13" width="12.6640625" style="11" customWidth="1"/>
    <col min="14" max="14" width="13.03125" style="11" customWidth="1"/>
    <col min="15" max="15" width="21.7265625" style="11" customWidth="1"/>
    <col min="16" max="16" width="12.078125" style="11" customWidth="1"/>
    <col min="17" max="17" width="10.6640625" style="11" customWidth="1"/>
    <col min="18" max="19" width="11.5" style="11" customWidth="1"/>
    <col min="20" max="20" width="11.8359375" style="11" customWidth="1"/>
  </cols>
  <sheetData>
    <row r="1" s="97" customFormat="1" customHeight="1" spans="1:23">
      <c r="A1" s="232" t="s">
        <v>189</v>
      </c>
      <c r="B1" s="232"/>
      <c r="C1" s="232"/>
      <c r="D1" s="232"/>
      <c r="E1" s="232"/>
      <c r="F1" s="232"/>
      <c r="G1" s="232"/>
      <c r="H1" s="232"/>
      <c r="I1" s="232"/>
      <c r="J1" s="232"/>
      <c r="K1" s="232"/>
      <c r="L1" s="232"/>
      <c r="M1" s="232"/>
      <c r="N1" s="232"/>
      <c r="O1" s="232"/>
      <c r="P1" s="232"/>
      <c r="Q1" s="11"/>
      <c r="R1" s="11"/>
      <c r="S1" s="11"/>
      <c r="T1" s="11"/>
      <c r="U1" s="11"/>
      <c r="V1" s="11"/>
      <c r="W1" s="11"/>
    </row>
    <row r="2" s="97" customFormat="1" customHeight="1" spans="1:23">
      <c r="A2" s="25" t="s">
        <v>16</v>
      </c>
      <c r="B2" s="25" t="s">
        <v>17</v>
      </c>
      <c r="C2" s="25" t="s">
        <v>18</v>
      </c>
      <c r="D2" s="25" t="s">
        <v>65</v>
      </c>
      <c r="E2" s="25" t="s">
        <v>46</v>
      </c>
      <c r="F2" s="25" t="s">
        <v>66</v>
      </c>
      <c r="G2" s="25" t="s">
        <v>67</v>
      </c>
      <c r="H2" s="25" t="s">
        <v>43</v>
      </c>
      <c r="I2" s="25" t="s">
        <v>68</v>
      </c>
      <c r="J2" s="25" t="s">
        <v>69</v>
      </c>
      <c r="K2" s="25" t="s">
        <v>70</v>
      </c>
      <c r="L2" s="25" t="s">
        <v>71</v>
      </c>
      <c r="M2" s="26" t="s">
        <v>72</v>
      </c>
      <c r="N2" s="26" t="s">
        <v>73</v>
      </c>
      <c r="O2" s="25" t="s">
        <v>74</v>
      </c>
      <c r="P2" s="25" t="s">
        <v>75</v>
      </c>
      <c r="Q2" s="11"/>
      <c r="R2" s="11"/>
      <c r="S2" s="11"/>
      <c r="T2" s="11"/>
      <c r="U2" s="11"/>
      <c r="V2" s="11"/>
      <c r="W2" s="11"/>
    </row>
    <row r="3" customFormat="1" customHeight="1" spans="1:23">
      <c r="A3" s="29">
        <v>35</v>
      </c>
      <c r="B3" s="29" t="s">
        <v>51</v>
      </c>
      <c r="C3" s="29" t="s">
        <v>54</v>
      </c>
      <c r="D3" s="29">
        <v>1</v>
      </c>
      <c r="E3" s="29" t="s">
        <v>53</v>
      </c>
      <c r="F3" s="29">
        <v>1.95</v>
      </c>
      <c r="G3" s="29" t="s">
        <v>190</v>
      </c>
      <c r="H3" s="38">
        <v>46051</v>
      </c>
      <c r="I3" s="38"/>
      <c r="J3" s="171">
        <f t="shared" ref="J3:J6" si="0">H3+90</f>
        <v>46141</v>
      </c>
      <c r="K3" s="38">
        <v>46141</v>
      </c>
      <c r="L3" s="38">
        <v>46142</v>
      </c>
      <c r="M3" s="235">
        <v>30</v>
      </c>
      <c r="N3" s="235">
        <f t="shared" ref="N3:N23" si="1">M3*F3*D3</f>
        <v>58.5</v>
      </c>
      <c r="O3" s="235">
        <f t="shared" ref="O3:O6" si="2">L3-K3+1</f>
        <v>2</v>
      </c>
      <c r="P3" s="235">
        <f t="shared" ref="P3:P23" si="3">O3*F3*D3</f>
        <v>3.9</v>
      </c>
      <c r="Q3" s="11"/>
      <c r="R3" s="11"/>
      <c r="S3" s="11"/>
      <c r="T3" s="11"/>
    </row>
    <row r="4" customFormat="1" customHeight="1" spans="1:23">
      <c r="A4" s="29">
        <v>35</v>
      </c>
      <c r="B4" s="29" t="s">
        <v>51</v>
      </c>
      <c r="C4" s="29" t="s">
        <v>54</v>
      </c>
      <c r="D4" s="29">
        <v>1</v>
      </c>
      <c r="E4" s="29" t="s">
        <v>53</v>
      </c>
      <c r="F4" s="29">
        <v>1.95</v>
      </c>
      <c r="G4" s="29" t="s">
        <v>191</v>
      </c>
      <c r="H4" s="38">
        <v>46051</v>
      </c>
      <c r="I4" s="38"/>
      <c r="J4" s="171">
        <f t="shared" si="0"/>
        <v>46141</v>
      </c>
      <c r="K4" s="38">
        <v>46141</v>
      </c>
      <c r="L4" s="38">
        <v>46142</v>
      </c>
      <c r="M4" s="235">
        <v>30</v>
      </c>
      <c r="N4" s="235">
        <f t="shared" si="1"/>
        <v>58.5</v>
      </c>
      <c r="O4" s="235">
        <f t="shared" si="2"/>
        <v>2</v>
      </c>
      <c r="P4" s="235">
        <f t="shared" si="3"/>
        <v>3.9</v>
      </c>
      <c r="Q4" s="11"/>
      <c r="R4" s="11"/>
      <c r="S4" s="11"/>
      <c r="T4" s="11"/>
    </row>
    <row r="5" customFormat="1" customHeight="1" spans="1:23">
      <c r="A5" s="29">
        <v>35</v>
      </c>
      <c r="B5" s="29" t="s">
        <v>51</v>
      </c>
      <c r="C5" s="29" t="s">
        <v>54</v>
      </c>
      <c r="D5" s="29">
        <v>1</v>
      </c>
      <c r="E5" s="29" t="s">
        <v>53</v>
      </c>
      <c r="F5" s="29">
        <v>1.95</v>
      </c>
      <c r="G5" s="29" t="s">
        <v>192</v>
      </c>
      <c r="H5" s="38">
        <v>46051</v>
      </c>
      <c r="I5" s="38"/>
      <c r="J5" s="171">
        <f t="shared" si="0"/>
        <v>46141</v>
      </c>
      <c r="K5" s="38">
        <v>46141</v>
      </c>
      <c r="L5" s="38">
        <v>46142</v>
      </c>
      <c r="M5" s="235">
        <v>30</v>
      </c>
      <c r="N5" s="235">
        <f t="shared" si="1"/>
        <v>58.5</v>
      </c>
      <c r="O5" s="235">
        <f t="shared" si="2"/>
        <v>2</v>
      </c>
      <c r="P5" s="235">
        <f t="shared" si="3"/>
        <v>3.9</v>
      </c>
      <c r="Q5" s="11"/>
      <c r="R5" s="11"/>
      <c r="S5" s="11"/>
      <c r="T5" s="11"/>
    </row>
    <row r="6" customFormat="1" customHeight="1" spans="1:23">
      <c r="A6" s="29">
        <v>35</v>
      </c>
      <c r="B6" s="29" t="s">
        <v>51</v>
      </c>
      <c r="C6" s="29" t="s">
        <v>54</v>
      </c>
      <c r="D6" s="29">
        <v>1</v>
      </c>
      <c r="E6" s="29" t="s">
        <v>53</v>
      </c>
      <c r="F6" s="29">
        <v>1.95</v>
      </c>
      <c r="G6" s="29" t="s">
        <v>193</v>
      </c>
      <c r="H6" s="38">
        <v>46051</v>
      </c>
      <c r="I6" s="38"/>
      <c r="J6" s="171">
        <f t="shared" si="0"/>
        <v>46141</v>
      </c>
      <c r="K6" s="38">
        <v>46141</v>
      </c>
      <c r="L6" s="38">
        <v>46142</v>
      </c>
      <c r="M6" s="235">
        <v>30</v>
      </c>
      <c r="N6" s="235">
        <f t="shared" si="1"/>
        <v>58.5</v>
      </c>
      <c r="O6" s="235">
        <f t="shared" si="2"/>
        <v>2</v>
      </c>
      <c r="P6" s="235">
        <f t="shared" si="3"/>
        <v>3.9</v>
      </c>
      <c r="Q6" s="11"/>
      <c r="R6" s="11"/>
      <c r="S6" s="11"/>
      <c r="T6" s="11"/>
    </row>
    <row r="7" s="234" customFormat="1" customHeight="1" spans="1:23">
      <c r="A7" s="73">
        <v>35</v>
      </c>
      <c r="B7" s="73" t="s">
        <v>51</v>
      </c>
      <c r="C7" s="73" t="s">
        <v>54</v>
      </c>
      <c r="D7" s="73">
        <v>1</v>
      </c>
      <c r="E7" s="73" t="s">
        <v>53</v>
      </c>
      <c r="F7" s="73">
        <v>1.95</v>
      </c>
      <c r="G7" s="173" t="s">
        <v>194</v>
      </c>
      <c r="H7" s="171">
        <v>46058</v>
      </c>
      <c r="I7" s="171"/>
      <c r="J7" s="171">
        <v>46148</v>
      </c>
      <c r="K7" s="171">
        <v>46113</v>
      </c>
      <c r="L7" s="171">
        <v>46142</v>
      </c>
      <c r="M7" s="235">
        <v>30</v>
      </c>
      <c r="N7" s="235">
        <f t="shared" si="1"/>
        <v>58.5</v>
      </c>
      <c r="O7" s="236">
        <v>0</v>
      </c>
      <c r="P7" s="236">
        <f t="shared" si="3"/>
        <v>0</v>
      </c>
      <c r="Q7" s="237"/>
      <c r="R7" s="237"/>
      <c r="S7" s="237"/>
      <c r="T7" s="237"/>
    </row>
    <row r="8" s="234" customFormat="1" customHeight="1" spans="1:23">
      <c r="A8" s="73">
        <v>35</v>
      </c>
      <c r="B8" s="73" t="s">
        <v>51</v>
      </c>
      <c r="C8" s="73" t="s">
        <v>54</v>
      </c>
      <c r="D8" s="73">
        <v>1</v>
      </c>
      <c r="E8" s="73" t="s">
        <v>53</v>
      </c>
      <c r="F8" s="73">
        <v>1.95</v>
      </c>
      <c r="G8" s="173" t="s">
        <v>195</v>
      </c>
      <c r="H8" s="171">
        <v>46058</v>
      </c>
      <c r="I8" s="171"/>
      <c r="J8" s="171">
        <v>46148</v>
      </c>
      <c r="K8" s="171">
        <v>46113</v>
      </c>
      <c r="L8" s="171">
        <v>46142</v>
      </c>
      <c r="M8" s="235">
        <v>30</v>
      </c>
      <c r="N8" s="235">
        <f t="shared" si="1"/>
        <v>58.5</v>
      </c>
      <c r="O8" s="236">
        <v>0</v>
      </c>
      <c r="P8" s="236">
        <f t="shared" si="3"/>
        <v>0</v>
      </c>
      <c r="Q8" s="237"/>
      <c r="R8" s="237"/>
      <c r="S8" s="237"/>
      <c r="T8" s="237"/>
    </row>
    <row r="9" customFormat="1" customHeight="1" spans="1:23">
      <c r="A9" s="29">
        <v>35</v>
      </c>
      <c r="B9" s="29" t="s">
        <v>51</v>
      </c>
      <c r="C9" s="29" t="s">
        <v>54</v>
      </c>
      <c r="D9" s="29">
        <v>1</v>
      </c>
      <c r="E9" s="29" t="s">
        <v>53</v>
      </c>
      <c r="F9" s="29">
        <v>1.95</v>
      </c>
      <c r="G9" s="174" t="s">
        <v>196</v>
      </c>
      <c r="H9" s="38">
        <v>46058</v>
      </c>
      <c r="I9" s="38"/>
      <c r="J9" s="171">
        <v>46148</v>
      </c>
      <c r="K9" s="38">
        <v>46113</v>
      </c>
      <c r="L9" s="38">
        <v>46142</v>
      </c>
      <c r="M9" s="235">
        <v>30</v>
      </c>
      <c r="N9" s="235">
        <f t="shared" si="1"/>
        <v>58.5</v>
      </c>
      <c r="O9" s="235">
        <v>0</v>
      </c>
      <c r="P9" s="235">
        <f t="shared" si="3"/>
        <v>0</v>
      </c>
      <c r="Q9" s="11"/>
      <c r="R9" s="11"/>
      <c r="S9" s="11"/>
      <c r="T9" s="11"/>
    </row>
    <row r="10" customFormat="1" customHeight="1" spans="1:23">
      <c r="A10" s="29">
        <v>35</v>
      </c>
      <c r="B10" s="29" t="s">
        <v>51</v>
      </c>
      <c r="C10" s="29" t="s">
        <v>54</v>
      </c>
      <c r="D10" s="29">
        <v>1</v>
      </c>
      <c r="E10" s="29" t="s">
        <v>53</v>
      </c>
      <c r="F10" s="29">
        <v>1.95</v>
      </c>
      <c r="G10" s="174" t="s">
        <v>197</v>
      </c>
      <c r="H10" s="38">
        <v>46058</v>
      </c>
      <c r="I10" s="38"/>
      <c r="J10" s="171">
        <v>46148</v>
      </c>
      <c r="K10" s="38">
        <v>46113</v>
      </c>
      <c r="L10" s="38">
        <v>46142</v>
      </c>
      <c r="M10" s="235">
        <v>30</v>
      </c>
      <c r="N10" s="235">
        <f t="shared" si="1"/>
        <v>58.5</v>
      </c>
      <c r="O10" s="235">
        <v>0</v>
      </c>
      <c r="P10" s="235">
        <f t="shared" si="3"/>
        <v>0</v>
      </c>
      <c r="Q10" s="11"/>
      <c r="R10" s="11"/>
      <c r="S10" s="11"/>
      <c r="T10" s="11"/>
    </row>
    <row r="11" customFormat="1" customHeight="1" spans="1:23">
      <c r="A11" s="29">
        <v>35</v>
      </c>
      <c r="B11" s="29" t="s">
        <v>51</v>
      </c>
      <c r="C11" s="29" t="s">
        <v>54</v>
      </c>
      <c r="D11" s="29">
        <v>1</v>
      </c>
      <c r="E11" s="29" t="s">
        <v>53</v>
      </c>
      <c r="F11" s="29">
        <v>1.95</v>
      </c>
      <c r="G11" s="174" t="s">
        <v>198</v>
      </c>
      <c r="H11" s="38">
        <v>46058</v>
      </c>
      <c r="I11" s="38"/>
      <c r="J11" s="171">
        <v>46148</v>
      </c>
      <c r="K11" s="38">
        <v>46113</v>
      </c>
      <c r="L11" s="38">
        <v>46142</v>
      </c>
      <c r="M11" s="235">
        <v>30</v>
      </c>
      <c r="N11" s="235">
        <f t="shared" si="1"/>
        <v>58.5</v>
      </c>
      <c r="O11" s="235">
        <v>0</v>
      </c>
      <c r="P11" s="235">
        <f t="shared" si="3"/>
        <v>0</v>
      </c>
      <c r="Q11" s="11"/>
      <c r="R11" s="11"/>
      <c r="S11" s="11"/>
      <c r="T11" s="11"/>
    </row>
    <row r="12" customFormat="1" customHeight="1" spans="1:23">
      <c r="A12" s="29">
        <v>35</v>
      </c>
      <c r="B12" s="29" t="s">
        <v>51</v>
      </c>
      <c r="C12" s="29" t="s">
        <v>54</v>
      </c>
      <c r="D12" s="29">
        <v>1</v>
      </c>
      <c r="E12" s="29" t="s">
        <v>53</v>
      </c>
      <c r="F12" s="29">
        <v>1.95</v>
      </c>
      <c r="G12" s="174" t="s">
        <v>199</v>
      </c>
      <c r="H12" s="38">
        <v>46058</v>
      </c>
      <c r="I12" s="38"/>
      <c r="J12" s="171">
        <v>46148</v>
      </c>
      <c r="K12" s="38">
        <v>46113</v>
      </c>
      <c r="L12" s="38">
        <v>46142</v>
      </c>
      <c r="M12" s="235">
        <v>30</v>
      </c>
      <c r="N12" s="235">
        <f t="shared" si="1"/>
        <v>58.5</v>
      </c>
      <c r="O12" s="235">
        <v>0</v>
      </c>
      <c r="P12" s="235">
        <f t="shared" si="3"/>
        <v>0</v>
      </c>
      <c r="Q12" s="11"/>
      <c r="R12" s="11"/>
      <c r="S12" s="11"/>
      <c r="T12" s="11"/>
    </row>
    <row r="13" customFormat="1" customHeight="1" spans="1:23">
      <c r="A13" s="29">
        <v>35</v>
      </c>
      <c r="B13" s="29" t="s">
        <v>51</v>
      </c>
      <c r="C13" s="29" t="s">
        <v>54</v>
      </c>
      <c r="D13" s="29">
        <v>1</v>
      </c>
      <c r="E13" s="29" t="s">
        <v>53</v>
      </c>
      <c r="F13" s="29">
        <v>1.95</v>
      </c>
      <c r="G13" s="174" t="s">
        <v>200</v>
      </c>
      <c r="H13" s="38">
        <v>46058</v>
      </c>
      <c r="I13" s="38"/>
      <c r="J13" s="171">
        <v>46148</v>
      </c>
      <c r="K13" s="38">
        <v>46113</v>
      </c>
      <c r="L13" s="38">
        <v>46142</v>
      </c>
      <c r="M13" s="235">
        <v>30</v>
      </c>
      <c r="N13" s="235">
        <f t="shared" si="1"/>
        <v>58.5</v>
      </c>
      <c r="O13" s="235">
        <v>0</v>
      </c>
      <c r="P13" s="235">
        <f t="shared" si="3"/>
        <v>0</v>
      </c>
      <c r="Q13" s="11"/>
      <c r="R13" s="11"/>
      <c r="S13" s="11"/>
      <c r="T13" s="11"/>
    </row>
    <row r="14" customFormat="1" customHeight="1" spans="1:23">
      <c r="A14" s="29">
        <v>35</v>
      </c>
      <c r="B14" s="29" t="s">
        <v>51</v>
      </c>
      <c r="C14" s="29" t="s">
        <v>54</v>
      </c>
      <c r="D14" s="29">
        <v>1</v>
      </c>
      <c r="E14" s="29" t="s">
        <v>53</v>
      </c>
      <c r="F14" s="29">
        <v>1.95</v>
      </c>
      <c r="G14" s="174" t="s">
        <v>201</v>
      </c>
      <c r="H14" s="38">
        <v>46058</v>
      </c>
      <c r="I14" s="38"/>
      <c r="J14" s="171">
        <v>46148</v>
      </c>
      <c r="K14" s="38">
        <v>46113</v>
      </c>
      <c r="L14" s="38">
        <v>46142</v>
      </c>
      <c r="M14" s="235">
        <v>30</v>
      </c>
      <c r="N14" s="235">
        <f t="shared" si="1"/>
        <v>58.5</v>
      </c>
      <c r="O14" s="235">
        <v>0</v>
      </c>
      <c r="P14" s="235">
        <f t="shared" si="3"/>
        <v>0</v>
      </c>
      <c r="Q14" s="11"/>
      <c r="R14" s="11"/>
      <c r="S14" s="11"/>
      <c r="T14" s="11"/>
    </row>
    <row r="15" customFormat="1" customHeight="1" spans="1:23">
      <c r="A15" s="29">
        <v>35</v>
      </c>
      <c r="B15" s="29" t="s">
        <v>51</v>
      </c>
      <c r="C15" s="29" t="s">
        <v>54</v>
      </c>
      <c r="D15" s="29">
        <v>1</v>
      </c>
      <c r="E15" s="29" t="s">
        <v>53</v>
      </c>
      <c r="F15" s="29">
        <v>1.95</v>
      </c>
      <c r="G15" s="174" t="s">
        <v>202</v>
      </c>
      <c r="H15" s="38">
        <v>46058</v>
      </c>
      <c r="I15" s="38"/>
      <c r="J15" s="171">
        <v>46148</v>
      </c>
      <c r="K15" s="38">
        <v>46113</v>
      </c>
      <c r="L15" s="38">
        <v>46142</v>
      </c>
      <c r="M15" s="235">
        <v>30</v>
      </c>
      <c r="N15" s="235">
        <f t="shared" si="1"/>
        <v>58.5</v>
      </c>
      <c r="O15" s="235">
        <v>0</v>
      </c>
      <c r="P15" s="235">
        <f t="shared" si="3"/>
        <v>0</v>
      </c>
      <c r="Q15" s="11"/>
      <c r="R15" s="11"/>
      <c r="S15" s="11"/>
      <c r="T15" s="11"/>
    </row>
    <row r="16" customFormat="1" customHeight="1" spans="1:23">
      <c r="A16" s="29">
        <v>35</v>
      </c>
      <c r="B16" s="29" t="s">
        <v>51</v>
      </c>
      <c r="C16" s="29" t="s">
        <v>54</v>
      </c>
      <c r="D16" s="29">
        <v>1</v>
      </c>
      <c r="E16" s="29" t="s">
        <v>53</v>
      </c>
      <c r="F16" s="29">
        <v>1.95</v>
      </c>
      <c r="G16" s="174" t="s">
        <v>203</v>
      </c>
      <c r="H16" s="38">
        <v>46058</v>
      </c>
      <c r="I16" s="38"/>
      <c r="J16" s="171">
        <v>46148</v>
      </c>
      <c r="K16" s="38">
        <v>46113</v>
      </c>
      <c r="L16" s="38">
        <v>46142</v>
      </c>
      <c r="M16" s="235">
        <v>30</v>
      </c>
      <c r="N16" s="235">
        <f t="shared" si="1"/>
        <v>58.5</v>
      </c>
      <c r="O16" s="235">
        <v>0</v>
      </c>
      <c r="P16" s="235">
        <f t="shared" si="3"/>
        <v>0</v>
      </c>
      <c r="Q16" s="11"/>
      <c r="R16" s="11"/>
      <c r="S16" s="11"/>
      <c r="T16" s="11"/>
    </row>
    <row r="17" customFormat="1" customHeight="1" spans="1:20">
      <c r="A17" s="29">
        <v>35</v>
      </c>
      <c r="B17" s="29" t="s">
        <v>51</v>
      </c>
      <c r="C17" s="29" t="s">
        <v>54</v>
      </c>
      <c r="D17" s="29">
        <v>1</v>
      </c>
      <c r="E17" s="29" t="s">
        <v>53</v>
      </c>
      <c r="F17" s="29">
        <v>1.95</v>
      </c>
      <c r="G17" s="174" t="s">
        <v>204</v>
      </c>
      <c r="H17" s="38">
        <v>46058</v>
      </c>
      <c r="I17" s="38"/>
      <c r="J17" s="171">
        <v>46148</v>
      </c>
      <c r="K17" s="38">
        <v>46113</v>
      </c>
      <c r="L17" s="38">
        <v>46142</v>
      </c>
      <c r="M17" s="235">
        <v>30</v>
      </c>
      <c r="N17" s="235">
        <f t="shared" si="1"/>
        <v>58.5</v>
      </c>
      <c r="O17" s="235">
        <v>0</v>
      </c>
      <c r="P17" s="235">
        <f t="shared" si="3"/>
        <v>0</v>
      </c>
      <c r="Q17" s="11"/>
      <c r="R17" s="11"/>
      <c r="S17" s="11"/>
      <c r="T17" s="11"/>
    </row>
    <row r="18" customFormat="1" customHeight="1" spans="1:20">
      <c r="A18" s="29">
        <v>35</v>
      </c>
      <c r="B18" s="29" t="s">
        <v>51</v>
      </c>
      <c r="C18" s="29" t="s">
        <v>54</v>
      </c>
      <c r="D18" s="29">
        <v>1</v>
      </c>
      <c r="E18" s="29" t="s">
        <v>53</v>
      </c>
      <c r="F18" s="29">
        <v>1.95</v>
      </c>
      <c r="G18" s="174" t="s">
        <v>205</v>
      </c>
      <c r="H18" s="38">
        <v>46058</v>
      </c>
      <c r="I18" s="38"/>
      <c r="J18" s="171">
        <v>46148</v>
      </c>
      <c r="K18" s="38">
        <v>46113</v>
      </c>
      <c r="L18" s="38">
        <v>46142</v>
      </c>
      <c r="M18" s="235">
        <v>30</v>
      </c>
      <c r="N18" s="235">
        <f t="shared" si="1"/>
        <v>58.5</v>
      </c>
      <c r="O18" s="235">
        <v>0</v>
      </c>
      <c r="P18" s="235">
        <f t="shared" si="3"/>
        <v>0</v>
      </c>
      <c r="Q18" s="11"/>
      <c r="R18" s="11"/>
      <c r="S18" s="11"/>
      <c r="T18" s="11"/>
    </row>
    <row r="19" customFormat="1" customHeight="1" spans="1:20">
      <c r="A19" s="29">
        <v>35</v>
      </c>
      <c r="B19" s="29" t="s">
        <v>51</v>
      </c>
      <c r="C19" s="29" t="s">
        <v>54</v>
      </c>
      <c r="D19" s="29">
        <v>1</v>
      </c>
      <c r="E19" s="29" t="s">
        <v>53</v>
      </c>
      <c r="F19" s="29">
        <v>1.95</v>
      </c>
      <c r="G19" s="174" t="s">
        <v>206</v>
      </c>
      <c r="H19" s="38">
        <v>46058</v>
      </c>
      <c r="I19" s="38"/>
      <c r="J19" s="171">
        <v>46148</v>
      </c>
      <c r="K19" s="38">
        <v>46113</v>
      </c>
      <c r="L19" s="38">
        <v>46142</v>
      </c>
      <c r="M19" s="235">
        <v>30</v>
      </c>
      <c r="N19" s="235">
        <f t="shared" si="1"/>
        <v>58.5</v>
      </c>
      <c r="O19" s="235">
        <v>0</v>
      </c>
      <c r="P19" s="235">
        <f t="shared" si="3"/>
        <v>0</v>
      </c>
      <c r="Q19" s="11"/>
      <c r="R19" s="11"/>
      <c r="S19" s="11"/>
      <c r="T19" s="11"/>
    </row>
    <row r="20" customFormat="1" customHeight="1" spans="1:20">
      <c r="A20" s="29">
        <v>35</v>
      </c>
      <c r="B20" s="29" t="s">
        <v>51</v>
      </c>
      <c r="C20" s="29" t="s">
        <v>54</v>
      </c>
      <c r="D20" s="29">
        <v>1</v>
      </c>
      <c r="E20" s="29" t="s">
        <v>53</v>
      </c>
      <c r="F20" s="29">
        <v>1.95</v>
      </c>
      <c r="G20" s="174" t="s">
        <v>207</v>
      </c>
      <c r="H20" s="38">
        <v>46058</v>
      </c>
      <c r="I20" s="38"/>
      <c r="J20" s="171">
        <v>46148</v>
      </c>
      <c r="K20" s="38">
        <v>46113</v>
      </c>
      <c r="L20" s="38">
        <v>46142</v>
      </c>
      <c r="M20" s="235">
        <v>30</v>
      </c>
      <c r="N20" s="235">
        <f t="shared" si="1"/>
        <v>58.5</v>
      </c>
      <c r="O20" s="235">
        <v>0</v>
      </c>
      <c r="P20" s="235">
        <f t="shared" si="3"/>
        <v>0</v>
      </c>
      <c r="Q20" s="11"/>
      <c r="R20" s="11"/>
      <c r="S20" s="11"/>
      <c r="T20" s="11"/>
    </row>
    <row r="21" customFormat="1" customHeight="1" spans="1:20">
      <c r="A21" s="29">
        <v>35</v>
      </c>
      <c r="B21" s="29" t="s">
        <v>51</v>
      </c>
      <c r="C21" s="29" t="s">
        <v>54</v>
      </c>
      <c r="D21" s="29">
        <v>1</v>
      </c>
      <c r="E21" s="29" t="s">
        <v>53</v>
      </c>
      <c r="F21" s="29">
        <v>1.95</v>
      </c>
      <c r="G21" s="174" t="s">
        <v>208</v>
      </c>
      <c r="H21" s="38">
        <v>46058</v>
      </c>
      <c r="I21" s="38"/>
      <c r="J21" s="171">
        <v>46148</v>
      </c>
      <c r="K21" s="38">
        <v>46113</v>
      </c>
      <c r="L21" s="38">
        <v>46142</v>
      </c>
      <c r="M21" s="235">
        <v>30</v>
      </c>
      <c r="N21" s="235">
        <f t="shared" si="1"/>
        <v>58.5</v>
      </c>
      <c r="O21" s="235">
        <v>0</v>
      </c>
      <c r="P21" s="235">
        <f t="shared" si="3"/>
        <v>0</v>
      </c>
      <c r="Q21" s="11"/>
      <c r="R21" s="11"/>
      <c r="S21" s="11"/>
      <c r="T21" s="11"/>
    </row>
    <row r="22" customFormat="1" customHeight="1" spans="1:20">
      <c r="A22" s="29">
        <v>35</v>
      </c>
      <c r="B22" s="29" t="s">
        <v>51</v>
      </c>
      <c r="C22" s="29" t="s">
        <v>54</v>
      </c>
      <c r="D22" s="29">
        <v>1</v>
      </c>
      <c r="E22" s="29" t="s">
        <v>53</v>
      </c>
      <c r="F22" s="29">
        <v>1.95</v>
      </c>
      <c r="G22" s="174" t="s">
        <v>209</v>
      </c>
      <c r="H22" s="38">
        <v>46058</v>
      </c>
      <c r="I22" s="38"/>
      <c r="J22" s="171">
        <v>46148</v>
      </c>
      <c r="K22" s="38">
        <v>46113</v>
      </c>
      <c r="L22" s="38">
        <v>46142</v>
      </c>
      <c r="M22" s="235">
        <v>30</v>
      </c>
      <c r="N22" s="235">
        <f t="shared" si="1"/>
        <v>58.5</v>
      </c>
      <c r="O22" s="235">
        <v>0</v>
      </c>
      <c r="P22" s="235">
        <f t="shared" si="3"/>
        <v>0</v>
      </c>
      <c r="Q22" s="11"/>
      <c r="R22" s="11"/>
      <c r="S22" s="11"/>
      <c r="T22" s="11"/>
    </row>
    <row r="23" customFormat="1" customHeight="1" spans="1:20">
      <c r="A23" s="29">
        <v>35</v>
      </c>
      <c r="B23" s="29" t="s">
        <v>51</v>
      </c>
      <c r="C23" s="29" t="s">
        <v>54</v>
      </c>
      <c r="D23" s="29">
        <v>1</v>
      </c>
      <c r="E23" s="29" t="s">
        <v>53</v>
      </c>
      <c r="F23" s="29">
        <v>1.95</v>
      </c>
      <c r="G23" s="174" t="s">
        <v>210</v>
      </c>
      <c r="H23" s="38">
        <v>46058</v>
      </c>
      <c r="I23" s="38"/>
      <c r="J23" s="171">
        <v>46148</v>
      </c>
      <c r="K23" s="38">
        <v>46113</v>
      </c>
      <c r="L23" s="38">
        <v>46142</v>
      </c>
      <c r="M23" s="235">
        <v>30</v>
      </c>
      <c r="N23" s="235">
        <f t="shared" si="1"/>
        <v>58.5</v>
      </c>
      <c r="O23" s="235">
        <v>0</v>
      </c>
      <c r="P23" s="235">
        <f t="shared" si="3"/>
        <v>0</v>
      </c>
      <c r="Q23" s="11"/>
      <c r="R23" s="11"/>
      <c r="S23" s="11"/>
      <c r="T23" s="11"/>
    </row>
    <row r="24" s="11" customFormat="1" customHeight="1" spans="1:20">
      <c r="A24" s="29" t="s">
        <v>126</v>
      </c>
      <c r="B24" s="29"/>
      <c r="C24" s="29"/>
      <c r="D24" s="29">
        <f>SUM(D3:D23)</f>
        <v>21</v>
      </c>
      <c r="E24" s="29" t="s">
        <v>127</v>
      </c>
      <c r="F24" s="29"/>
      <c r="G24" s="29"/>
      <c r="H24" s="29"/>
      <c r="I24" s="29"/>
      <c r="J24" s="29"/>
      <c r="K24" s="29"/>
      <c r="L24" s="29"/>
      <c r="M24" s="29"/>
      <c r="N24" s="33">
        <f>SUM(N3:N23)</f>
        <v>1228.5</v>
      </c>
      <c r="O24" s="235"/>
      <c r="P24" s="235">
        <f>SUM(P3:P23)</f>
        <v>15.6</v>
      </c>
    </row>
    <row r="25" s="11" customFormat="1" customHeight="1"/>
    <row r="26" s="11" customFormat="1" customHeight="1" spans="1:20">
      <c r="A26" s="227">
        <v>46113</v>
      </c>
      <c r="B26" s="228" t="s">
        <v>128</v>
      </c>
      <c r="C26" s="228">
        <v>4</v>
      </c>
    </row>
    <row r="27" customFormat="1" customHeight="1" spans="1:20">
      <c r="A27" s="228"/>
      <c r="B27" s="228" t="s">
        <v>129</v>
      </c>
      <c r="C27" s="228">
        <v>0</v>
      </c>
      <c r="D27" s="12"/>
      <c r="E27" s="12"/>
      <c r="F27" s="12"/>
      <c r="G27" s="12"/>
      <c r="H27" s="12"/>
      <c r="I27" s="12"/>
      <c r="J27" s="12"/>
      <c r="K27" s="12"/>
      <c r="L27" s="12"/>
      <c r="M27" s="11"/>
      <c r="N27" s="11"/>
      <c r="O27" s="11"/>
      <c r="P27" s="11"/>
      <c r="Q27" s="11"/>
      <c r="R27" s="11"/>
      <c r="S27" s="11"/>
      <c r="T27" s="11"/>
    </row>
    <row r="29" customFormat="1" customHeight="1" spans="1:20">
      <c r="A29" s="232" t="s">
        <v>211</v>
      </c>
      <c r="B29" s="232"/>
      <c r="C29" s="232"/>
      <c r="D29" s="232"/>
      <c r="E29" s="232"/>
      <c r="F29" s="232"/>
      <c r="G29" s="232"/>
      <c r="H29" s="232"/>
      <c r="I29" s="232"/>
      <c r="J29" s="232"/>
      <c r="K29" s="232"/>
      <c r="L29" s="232"/>
      <c r="M29" s="232"/>
      <c r="N29" s="232"/>
      <c r="O29" s="232"/>
      <c r="P29" s="232"/>
      <c r="Q29" s="11"/>
      <c r="R29" s="11"/>
      <c r="S29" s="11"/>
      <c r="T29" s="11"/>
    </row>
    <row r="30" customFormat="1" customHeight="1" spans="1:20">
      <c r="A30" s="25" t="s">
        <v>16</v>
      </c>
      <c r="B30" s="25" t="s">
        <v>17</v>
      </c>
      <c r="C30" s="25" t="s">
        <v>18</v>
      </c>
      <c r="D30" s="25" t="s">
        <v>65</v>
      </c>
      <c r="E30" s="25" t="s">
        <v>46</v>
      </c>
      <c r="F30" s="25" t="s">
        <v>66</v>
      </c>
      <c r="G30" s="25" t="s">
        <v>67</v>
      </c>
      <c r="H30" s="25" t="s">
        <v>43</v>
      </c>
      <c r="I30" s="25" t="s">
        <v>68</v>
      </c>
      <c r="J30" s="25" t="s">
        <v>69</v>
      </c>
      <c r="K30" s="25" t="s">
        <v>70</v>
      </c>
      <c r="L30" s="25" t="s">
        <v>71</v>
      </c>
      <c r="M30" s="26" t="s">
        <v>72</v>
      </c>
      <c r="N30" s="26" t="s">
        <v>73</v>
      </c>
      <c r="O30" s="25" t="s">
        <v>74</v>
      </c>
      <c r="P30" s="25" t="s">
        <v>75</v>
      </c>
      <c r="Q30" s="11"/>
      <c r="R30" s="11"/>
      <c r="S30" s="11"/>
      <c r="T30" s="11"/>
    </row>
    <row r="31" customFormat="1" customHeight="1" spans="1:20">
      <c r="A31" s="27">
        <v>12</v>
      </c>
      <c r="B31" s="27" t="s">
        <v>25</v>
      </c>
      <c r="C31" s="27" t="s">
        <v>28</v>
      </c>
      <c r="D31" s="27">
        <v>7</v>
      </c>
      <c r="E31" s="27" t="s">
        <v>53</v>
      </c>
      <c r="F31" s="28">
        <v>480.2</v>
      </c>
      <c r="G31" s="29"/>
      <c r="H31" s="30">
        <v>45916</v>
      </c>
      <c r="I31" s="238"/>
      <c r="J31" s="30">
        <f t="shared" ref="J31:J33" si="4">H31+90</f>
        <v>46006</v>
      </c>
      <c r="K31" s="38">
        <v>46113</v>
      </c>
      <c r="L31" s="38">
        <v>46142</v>
      </c>
      <c r="M31" s="235">
        <v>30</v>
      </c>
      <c r="N31" s="239">
        <f t="shared" ref="N31:N33" si="5">M31*F31*D31</f>
        <v>100842</v>
      </c>
      <c r="O31" s="235">
        <v>30</v>
      </c>
      <c r="P31" s="67">
        <f t="shared" ref="P31:P33" si="6">O31*F31*D31</f>
        <v>100842</v>
      </c>
      <c r="Q31" s="11"/>
      <c r="R31"/>
      <c r="S31" s="11"/>
      <c r="T31" s="11"/>
    </row>
    <row r="32" customFormat="1" customHeight="1" spans="1:20">
      <c r="A32" s="27">
        <v>12</v>
      </c>
      <c r="B32" s="27" t="s">
        <v>25</v>
      </c>
      <c r="C32" s="27" t="s">
        <v>28</v>
      </c>
      <c r="D32" s="27">
        <v>8</v>
      </c>
      <c r="E32" s="27" t="s">
        <v>53</v>
      </c>
      <c r="F32" s="28">
        <v>480.2</v>
      </c>
      <c r="G32" s="29"/>
      <c r="H32" s="30">
        <v>46091</v>
      </c>
      <c r="I32" s="238"/>
      <c r="J32" s="30">
        <f t="shared" si="4"/>
        <v>46181</v>
      </c>
      <c r="K32" s="38">
        <v>46113</v>
      </c>
      <c r="L32" s="38">
        <v>46142</v>
      </c>
      <c r="M32" s="235">
        <v>30</v>
      </c>
      <c r="N32" s="239">
        <f t="shared" si="5"/>
        <v>115248</v>
      </c>
      <c r="O32" s="235">
        <v>0</v>
      </c>
      <c r="P32" s="67">
        <f t="shared" si="6"/>
        <v>0</v>
      </c>
      <c r="Q32" s="11"/>
      <c r="R32" s="11"/>
      <c r="S32" s="11"/>
      <c r="T32" s="11"/>
    </row>
    <row r="33" customFormat="1" customHeight="1" spans="1:20">
      <c r="A33" s="27">
        <v>5</v>
      </c>
      <c r="B33" s="27" t="s">
        <v>25</v>
      </c>
      <c r="C33" s="27" t="s">
        <v>212</v>
      </c>
      <c r="D33" s="27">
        <v>6</v>
      </c>
      <c r="E33" s="27" t="s">
        <v>53</v>
      </c>
      <c r="F33" s="28">
        <v>166.3</v>
      </c>
      <c r="G33" s="27"/>
      <c r="H33" s="30">
        <v>46091</v>
      </c>
      <c r="I33" s="238"/>
      <c r="J33" s="30">
        <f t="shared" si="4"/>
        <v>46181</v>
      </c>
      <c r="K33" s="38">
        <v>46113</v>
      </c>
      <c r="L33" s="38">
        <v>46142</v>
      </c>
      <c r="M33" s="235">
        <v>30</v>
      </c>
      <c r="N33" s="239">
        <f t="shared" si="5"/>
        <v>29934</v>
      </c>
      <c r="O33" s="235">
        <v>0</v>
      </c>
      <c r="P33" s="67">
        <f t="shared" si="6"/>
        <v>0</v>
      </c>
      <c r="Q33" s="11"/>
      <c r="R33" s="11"/>
      <c r="S33" s="11"/>
      <c r="T33" s="11"/>
    </row>
    <row r="34" customFormat="1" customHeight="1" spans="1:20">
      <c r="A34" s="99" t="s">
        <v>213</v>
      </c>
      <c r="B34" s="100"/>
      <c r="C34" s="100"/>
      <c r="D34" s="100"/>
      <c r="E34" s="100"/>
      <c r="F34" s="100"/>
      <c r="G34" s="100"/>
      <c r="H34" s="100"/>
      <c r="I34" s="100"/>
      <c r="J34" s="100"/>
      <c r="K34" s="100"/>
      <c r="L34" s="100"/>
      <c r="M34" s="100"/>
      <c r="N34" s="100"/>
      <c r="O34" s="100"/>
      <c r="P34" s="100"/>
      <c r="Q34" s="11"/>
      <c r="R34" s="11"/>
      <c r="S34" s="11"/>
      <c r="T34" s="11"/>
    </row>
    <row r="35" customFormat="1" customHeight="1" spans="1:20">
      <c r="A35" s="25" t="s">
        <v>16</v>
      </c>
      <c r="B35" s="25" t="s">
        <v>17</v>
      </c>
      <c r="C35" s="25" t="s">
        <v>18</v>
      </c>
      <c r="D35" s="25" t="s">
        <v>65</v>
      </c>
      <c r="E35" s="25" t="s">
        <v>46</v>
      </c>
      <c r="F35" s="25" t="s">
        <v>66</v>
      </c>
      <c r="G35" s="25" t="s">
        <v>67</v>
      </c>
      <c r="H35" s="25" t="s">
        <v>43</v>
      </c>
      <c r="I35" s="25" t="s">
        <v>68</v>
      </c>
      <c r="J35" s="25" t="s">
        <v>69</v>
      </c>
      <c r="K35" s="25" t="s">
        <v>70</v>
      </c>
      <c r="L35" s="25" t="s">
        <v>71</v>
      </c>
      <c r="M35" s="26" t="s">
        <v>72</v>
      </c>
      <c r="N35" s="26" t="s">
        <v>73</v>
      </c>
      <c r="O35" s="25" t="s">
        <v>74</v>
      </c>
      <c r="P35" s="25" t="s">
        <v>75</v>
      </c>
      <c r="Q35" s="11"/>
      <c r="R35" s="11"/>
      <c r="S35" s="11"/>
      <c r="T35" s="11"/>
    </row>
    <row r="36" customFormat="1" customHeight="1" spans="1:20">
      <c r="A36" s="27">
        <v>50</v>
      </c>
      <c r="B36" s="27" t="s">
        <v>30</v>
      </c>
      <c r="C36" s="27" t="s">
        <v>31</v>
      </c>
      <c r="D36" s="27">
        <v>1</v>
      </c>
      <c r="E36" s="27" t="s">
        <v>53</v>
      </c>
      <c r="F36" s="28">
        <v>22.77</v>
      </c>
      <c r="G36" s="29"/>
      <c r="H36" s="30">
        <v>45916</v>
      </c>
      <c r="I36" s="158">
        <v>46126</v>
      </c>
      <c r="J36" s="30">
        <f t="shared" ref="J36:J102" si="7">H36+90</f>
        <v>46006</v>
      </c>
      <c r="K36" s="38">
        <v>46113</v>
      </c>
      <c r="L36" s="64">
        <v>46125</v>
      </c>
      <c r="M36" s="240">
        <v>13</v>
      </c>
      <c r="N36" s="239">
        <f t="shared" ref="N36:N102" si="8">M36*F36*D36</f>
        <v>296.01</v>
      </c>
      <c r="O36" s="235">
        <v>13</v>
      </c>
      <c r="P36" s="67">
        <f>D36*F36*O36</f>
        <v>296.01</v>
      </c>
      <c r="Q36" s="105" t="s">
        <v>133</v>
      </c>
      <c r="R36" s="11"/>
      <c r="S36" s="11"/>
      <c r="T36" s="11"/>
    </row>
    <row r="37" customFormat="1" customHeight="1" spans="1:20">
      <c r="A37" s="98"/>
      <c r="B37" s="98"/>
      <c r="C37" s="98"/>
      <c r="D37" s="98"/>
      <c r="E37" s="98"/>
      <c r="F37" s="98"/>
      <c r="G37" s="98"/>
      <c r="H37" s="98"/>
      <c r="I37" s="98"/>
      <c r="J37" s="98"/>
      <c r="K37" s="98"/>
      <c r="L37" s="98"/>
      <c r="M37" s="11"/>
      <c r="N37" s="11"/>
      <c r="O37" s="11"/>
      <c r="P37" s="11"/>
      <c r="Q37" s="11"/>
      <c r="R37" s="11"/>
      <c r="S37" s="11"/>
      <c r="T37" s="11"/>
    </row>
    <row r="38" customFormat="1" customHeight="1" spans="1:20">
      <c r="A38" s="232" t="s">
        <v>214</v>
      </c>
      <c r="B38" s="232"/>
      <c r="C38" s="232"/>
      <c r="D38" s="232"/>
      <c r="E38" s="232"/>
      <c r="F38" s="232"/>
      <c r="G38" s="232"/>
      <c r="H38" s="232"/>
      <c r="I38" s="232"/>
      <c r="J38" s="232"/>
      <c r="K38" s="232"/>
      <c r="L38" s="232"/>
      <c r="M38" s="232"/>
      <c r="N38" s="232"/>
      <c r="O38" s="232"/>
      <c r="P38" s="232"/>
      <c r="Q38" s="241"/>
      <c r="R38" s="11"/>
      <c r="S38" s="11"/>
      <c r="T38" s="11"/>
    </row>
    <row r="39" customFormat="1" ht="63" customHeight="1" spans="1:20">
      <c r="A39" s="25" t="s">
        <v>16</v>
      </c>
      <c r="B39" s="25" t="s">
        <v>17</v>
      </c>
      <c r="C39" s="25" t="s">
        <v>18</v>
      </c>
      <c r="D39" s="25" t="s">
        <v>65</v>
      </c>
      <c r="E39" s="25" t="s">
        <v>46</v>
      </c>
      <c r="F39" s="25" t="s">
        <v>66</v>
      </c>
      <c r="G39" s="25" t="s">
        <v>67</v>
      </c>
      <c r="H39" s="25" t="s">
        <v>43</v>
      </c>
      <c r="I39" s="25" t="s">
        <v>68</v>
      </c>
      <c r="J39" s="25" t="s">
        <v>69</v>
      </c>
      <c r="K39" s="25" t="s">
        <v>70</v>
      </c>
      <c r="L39" s="25" t="s">
        <v>71</v>
      </c>
      <c r="M39" s="26" t="s">
        <v>72</v>
      </c>
      <c r="N39" s="26" t="s">
        <v>73</v>
      </c>
      <c r="O39" s="25" t="s">
        <v>74</v>
      </c>
      <c r="P39" s="25" t="s">
        <v>75</v>
      </c>
      <c r="Q39" s="241"/>
      <c r="R39" s="11"/>
      <c r="S39" s="11"/>
      <c r="T39" s="11"/>
    </row>
    <row r="40" customFormat="1" customHeight="1" spans="1:20">
      <c r="A40" s="27">
        <v>26</v>
      </c>
      <c r="B40" s="27" t="s">
        <v>21</v>
      </c>
      <c r="C40" s="27" t="s">
        <v>33</v>
      </c>
      <c r="D40" s="29">
        <v>1</v>
      </c>
      <c r="E40" s="27" t="s">
        <v>53</v>
      </c>
      <c r="F40" s="28">
        <v>5.78</v>
      </c>
      <c r="G40" s="37" t="s">
        <v>192</v>
      </c>
      <c r="H40" s="30">
        <v>45916</v>
      </c>
      <c r="I40" s="30"/>
      <c r="J40" s="30">
        <f t="shared" si="7"/>
        <v>46006</v>
      </c>
      <c r="K40" s="38">
        <v>46113</v>
      </c>
      <c r="L40" s="38">
        <v>46142</v>
      </c>
      <c r="M40" s="235">
        <v>30</v>
      </c>
      <c r="N40" s="235">
        <f t="shared" si="8"/>
        <v>173.4</v>
      </c>
      <c r="O40" s="235">
        <f t="shared" ref="O40:O67" si="9">L40-K40+1</f>
        <v>30</v>
      </c>
      <c r="P40" s="239">
        <f t="shared" ref="P40:P103" si="10">O40*F40*D40</f>
        <v>173.4</v>
      </c>
      <c r="Q40" s="241"/>
      <c r="R40" s="11"/>
      <c r="S40" s="11"/>
      <c r="T40" s="11"/>
    </row>
    <row r="41" customFormat="1" customHeight="1" spans="1:20">
      <c r="A41" s="27">
        <v>26</v>
      </c>
      <c r="B41" s="27" t="s">
        <v>21</v>
      </c>
      <c r="C41" s="27" t="s">
        <v>33</v>
      </c>
      <c r="D41" s="29">
        <v>1</v>
      </c>
      <c r="E41" s="27" t="s">
        <v>53</v>
      </c>
      <c r="F41" s="28">
        <v>5.78</v>
      </c>
      <c r="G41" s="37" t="s">
        <v>193</v>
      </c>
      <c r="H41" s="30">
        <v>45916</v>
      </c>
      <c r="I41" s="30"/>
      <c r="J41" s="30">
        <f t="shared" si="7"/>
        <v>46006</v>
      </c>
      <c r="K41" s="38">
        <v>46113</v>
      </c>
      <c r="L41" s="38">
        <v>46142</v>
      </c>
      <c r="M41" s="235">
        <v>30</v>
      </c>
      <c r="N41" s="235">
        <f t="shared" si="8"/>
        <v>173.4</v>
      </c>
      <c r="O41" s="235">
        <f t="shared" si="9"/>
        <v>30</v>
      </c>
      <c r="P41" s="239">
        <f t="shared" si="10"/>
        <v>173.4</v>
      </c>
      <c r="Q41" s="241"/>
      <c r="R41" s="11"/>
      <c r="S41" s="11"/>
      <c r="T41" s="11"/>
    </row>
    <row r="42" customFormat="1" customHeight="1" spans="1:20">
      <c r="A42" s="27">
        <v>26</v>
      </c>
      <c r="B42" s="27" t="s">
        <v>21</v>
      </c>
      <c r="C42" s="27" t="s">
        <v>33</v>
      </c>
      <c r="D42" s="29">
        <v>1</v>
      </c>
      <c r="E42" s="27" t="s">
        <v>53</v>
      </c>
      <c r="F42" s="28">
        <v>5.78</v>
      </c>
      <c r="G42" s="37" t="s">
        <v>190</v>
      </c>
      <c r="H42" s="30">
        <v>45916</v>
      </c>
      <c r="I42" s="30"/>
      <c r="J42" s="30">
        <f t="shared" si="7"/>
        <v>46006</v>
      </c>
      <c r="K42" s="38">
        <v>46113</v>
      </c>
      <c r="L42" s="38">
        <v>46142</v>
      </c>
      <c r="M42" s="235">
        <v>30</v>
      </c>
      <c r="N42" s="235">
        <f t="shared" si="8"/>
        <v>173.4</v>
      </c>
      <c r="O42" s="235">
        <f t="shared" si="9"/>
        <v>30</v>
      </c>
      <c r="P42" s="239">
        <f t="shared" si="10"/>
        <v>173.4</v>
      </c>
      <c r="Q42" s="241"/>
      <c r="R42" s="11"/>
      <c r="S42" s="11"/>
      <c r="T42" s="11"/>
    </row>
    <row r="43" customFormat="1" customHeight="1" spans="1:20">
      <c r="A43" s="27">
        <v>26</v>
      </c>
      <c r="B43" s="27" t="s">
        <v>21</v>
      </c>
      <c r="C43" s="27" t="s">
        <v>33</v>
      </c>
      <c r="D43" s="29">
        <v>1</v>
      </c>
      <c r="E43" s="27" t="s">
        <v>53</v>
      </c>
      <c r="F43" s="28">
        <v>5.78</v>
      </c>
      <c r="G43" s="37" t="s">
        <v>191</v>
      </c>
      <c r="H43" s="30">
        <v>45916</v>
      </c>
      <c r="I43" s="30"/>
      <c r="J43" s="30">
        <f t="shared" si="7"/>
        <v>46006</v>
      </c>
      <c r="K43" s="38">
        <v>46113</v>
      </c>
      <c r="L43" s="38">
        <v>46142</v>
      </c>
      <c r="M43" s="235">
        <v>30</v>
      </c>
      <c r="N43" s="235">
        <f t="shared" si="8"/>
        <v>173.4</v>
      </c>
      <c r="O43" s="235">
        <f t="shared" si="9"/>
        <v>30</v>
      </c>
      <c r="P43" s="239">
        <f t="shared" si="10"/>
        <v>173.4</v>
      </c>
      <c r="Q43" s="241"/>
      <c r="R43" s="11"/>
      <c r="S43" s="11"/>
      <c r="T43" s="11"/>
    </row>
    <row r="44" s="234" customFormat="1" customHeight="1" spans="1:20">
      <c r="A44" s="72">
        <v>26</v>
      </c>
      <c r="B44" s="72" t="s">
        <v>21</v>
      </c>
      <c r="C44" s="72" t="s">
        <v>33</v>
      </c>
      <c r="D44" s="73">
        <v>1</v>
      </c>
      <c r="E44" s="72" t="s">
        <v>53</v>
      </c>
      <c r="F44" s="74">
        <v>5.78</v>
      </c>
      <c r="G44" s="75" t="s">
        <v>194</v>
      </c>
      <c r="H44" s="66">
        <v>45916</v>
      </c>
      <c r="I44" s="66"/>
      <c r="J44" s="66">
        <f t="shared" si="7"/>
        <v>46006</v>
      </c>
      <c r="K44" s="171">
        <v>46113</v>
      </c>
      <c r="L44" s="171">
        <v>46142</v>
      </c>
      <c r="M44" s="235">
        <v>30</v>
      </c>
      <c r="N44" s="235">
        <f t="shared" si="8"/>
        <v>173.4</v>
      </c>
      <c r="O44" s="236">
        <f t="shared" si="9"/>
        <v>30</v>
      </c>
      <c r="P44" s="242">
        <f t="shared" si="10"/>
        <v>173.4</v>
      </c>
      <c r="Q44" s="243"/>
      <c r="R44" s="237"/>
      <c r="S44" s="237"/>
      <c r="T44" s="237"/>
    </row>
    <row r="45" s="234" customFormat="1" customHeight="1" spans="1:20">
      <c r="A45" s="72">
        <v>26</v>
      </c>
      <c r="B45" s="72" t="s">
        <v>21</v>
      </c>
      <c r="C45" s="72" t="s">
        <v>33</v>
      </c>
      <c r="D45" s="73">
        <v>1</v>
      </c>
      <c r="E45" s="72" t="s">
        <v>53</v>
      </c>
      <c r="F45" s="74">
        <v>5.78</v>
      </c>
      <c r="G45" s="75" t="s">
        <v>195</v>
      </c>
      <c r="H45" s="66">
        <v>45916</v>
      </c>
      <c r="I45" s="66"/>
      <c r="J45" s="66">
        <f t="shared" si="7"/>
        <v>46006</v>
      </c>
      <c r="K45" s="171">
        <v>46113</v>
      </c>
      <c r="L45" s="171">
        <v>46142</v>
      </c>
      <c r="M45" s="235">
        <v>30</v>
      </c>
      <c r="N45" s="235">
        <f t="shared" si="8"/>
        <v>173.4</v>
      </c>
      <c r="O45" s="236">
        <f t="shared" si="9"/>
        <v>30</v>
      </c>
      <c r="P45" s="242">
        <f t="shared" si="10"/>
        <v>173.4</v>
      </c>
      <c r="Q45" s="243"/>
      <c r="R45" s="237"/>
      <c r="S45" s="237"/>
      <c r="T45" s="237"/>
    </row>
    <row r="46" customFormat="1" customHeight="1" spans="1:20">
      <c r="A46" s="27">
        <v>26</v>
      </c>
      <c r="B46" s="27" t="s">
        <v>21</v>
      </c>
      <c r="C46" s="27" t="s">
        <v>33</v>
      </c>
      <c r="D46" s="29">
        <v>1</v>
      </c>
      <c r="E46" s="27" t="s">
        <v>53</v>
      </c>
      <c r="F46" s="28">
        <v>5.78</v>
      </c>
      <c r="G46" s="37" t="s">
        <v>196</v>
      </c>
      <c r="H46" s="30">
        <v>45916</v>
      </c>
      <c r="I46" s="30"/>
      <c r="J46" s="30">
        <f t="shared" si="7"/>
        <v>46006</v>
      </c>
      <c r="K46" s="38">
        <v>46113</v>
      </c>
      <c r="L46" s="38">
        <v>46142</v>
      </c>
      <c r="M46" s="235">
        <v>30</v>
      </c>
      <c r="N46" s="235">
        <f t="shared" si="8"/>
        <v>173.4</v>
      </c>
      <c r="O46" s="235">
        <f t="shared" si="9"/>
        <v>30</v>
      </c>
      <c r="P46" s="239">
        <f t="shared" si="10"/>
        <v>173.4</v>
      </c>
      <c r="Q46" s="241"/>
      <c r="R46" s="11"/>
      <c r="S46" s="11"/>
      <c r="T46" s="11"/>
    </row>
    <row r="47" customFormat="1" customHeight="1" spans="1:20">
      <c r="A47" s="27">
        <v>26</v>
      </c>
      <c r="B47" s="27" t="s">
        <v>21</v>
      </c>
      <c r="C47" s="27" t="s">
        <v>33</v>
      </c>
      <c r="D47" s="29">
        <v>1</v>
      </c>
      <c r="E47" s="27" t="s">
        <v>53</v>
      </c>
      <c r="F47" s="28">
        <v>5.78</v>
      </c>
      <c r="G47" s="37" t="s">
        <v>197</v>
      </c>
      <c r="H47" s="30">
        <v>45916</v>
      </c>
      <c r="I47" s="30"/>
      <c r="J47" s="30">
        <f t="shared" si="7"/>
        <v>46006</v>
      </c>
      <c r="K47" s="38">
        <v>46113</v>
      </c>
      <c r="L47" s="38">
        <v>46142</v>
      </c>
      <c r="M47" s="235">
        <v>30</v>
      </c>
      <c r="N47" s="235">
        <f t="shared" si="8"/>
        <v>173.4</v>
      </c>
      <c r="O47" s="235">
        <f t="shared" si="9"/>
        <v>30</v>
      </c>
      <c r="P47" s="239">
        <f t="shared" si="10"/>
        <v>173.4</v>
      </c>
      <c r="Q47" s="241"/>
      <c r="R47" s="11"/>
      <c r="S47" s="11"/>
      <c r="T47" s="11"/>
    </row>
    <row r="48" customFormat="1" customHeight="1" spans="1:20">
      <c r="A48" s="27">
        <v>26</v>
      </c>
      <c r="B48" s="27" t="s">
        <v>21</v>
      </c>
      <c r="C48" s="27" t="s">
        <v>33</v>
      </c>
      <c r="D48" s="29">
        <v>1</v>
      </c>
      <c r="E48" s="27" t="s">
        <v>53</v>
      </c>
      <c r="F48" s="28">
        <v>5.78</v>
      </c>
      <c r="G48" s="37" t="s">
        <v>198</v>
      </c>
      <c r="H48" s="30">
        <v>45916</v>
      </c>
      <c r="I48" s="30"/>
      <c r="J48" s="30">
        <f t="shared" si="7"/>
        <v>46006</v>
      </c>
      <c r="K48" s="38">
        <v>46113</v>
      </c>
      <c r="L48" s="38">
        <v>46142</v>
      </c>
      <c r="M48" s="235">
        <v>30</v>
      </c>
      <c r="N48" s="235">
        <f t="shared" si="8"/>
        <v>173.4</v>
      </c>
      <c r="O48" s="235">
        <f t="shared" si="9"/>
        <v>30</v>
      </c>
      <c r="P48" s="239">
        <f t="shared" si="10"/>
        <v>173.4</v>
      </c>
      <c r="Q48" s="241"/>
      <c r="R48" s="11"/>
      <c r="S48" s="11"/>
      <c r="T48" s="11"/>
    </row>
    <row r="49" customFormat="1" customHeight="1" spans="1:20">
      <c r="A49" s="27">
        <v>26</v>
      </c>
      <c r="B49" s="27" t="s">
        <v>21</v>
      </c>
      <c r="C49" s="27" t="s">
        <v>33</v>
      </c>
      <c r="D49" s="29">
        <v>1</v>
      </c>
      <c r="E49" s="27" t="s">
        <v>53</v>
      </c>
      <c r="F49" s="28">
        <v>5.78</v>
      </c>
      <c r="G49" s="37" t="s">
        <v>199</v>
      </c>
      <c r="H49" s="30">
        <v>45916</v>
      </c>
      <c r="I49" s="30"/>
      <c r="J49" s="30">
        <f t="shared" si="7"/>
        <v>46006</v>
      </c>
      <c r="K49" s="38">
        <v>46113</v>
      </c>
      <c r="L49" s="38">
        <v>46142</v>
      </c>
      <c r="M49" s="235">
        <v>30</v>
      </c>
      <c r="N49" s="235">
        <f t="shared" si="8"/>
        <v>173.4</v>
      </c>
      <c r="O49" s="235">
        <f t="shared" si="9"/>
        <v>30</v>
      </c>
      <c r="P49" s="239">
        <f t="shared" si="10"/>
        <v>173.4</v>
      </c>
      <c r="Q49" s="241"/>
      <c r="R49" s="11"/>
      <c r="S49" s="11"/>
      <c r="T49" s="11"/>
    </row>
    <row r="50" customFormat="1" customHeight="1" spans="1:20">
      <c r="A50" s="27">
        <v>26</v>
      </c>
      <c r="B50" s="27" t="s">
        <v>21</v>
      </c>
      <c r="C50" s="27" t="s">
        <v>33</v>
      </c>
      <c r="D50" s="29">
        <v>1</v>
      </c>
      <c r="E50" s="27" t="s">
        <v>53</v>
      </c>
      <c r="F50" s="28">
        <v>5.78</v>
      </c>
      <c r="G50" s="37" t="s">
        <v>200</v>
      </c>
      <c r="H50" s="30">
        <v>45916</v>
      </c>
      <c r="I50" s="30"/>
      <c r="J50" s="30">
        <f t="shared" si="7"/>
        <v>46006</v>
      </c>
      <c r="K50" s="38">
        <v>46113</v>
      </c>
      <c r="L50" s="38">
        <v>46142</v>
      </c>
      <c r="M50" s="235">
        <v>30</v>
      </c>
      <c r="N50" s="235">
        <f t="shared" si="8"/>
        <v>173.4</v>
      </c>
      <c r="O50" s="235">
        <f t="shared" si="9"/>
        <v>30</v>
      </c>
      <c r="P50" s="239">
        <f t="shared" si="10"/>
        <v>173.4</v>
      </c>
      <c r="Q50" s="241"/>
      <c r="R50" s="11"/>
      <c r="S50" s="11"/>
      <c r="T50" s="11"/>
    </row>
    <row r="51" customFormat="1" customHeight="1" spans="1:20">
      <c r="A51" s="27">
        <v>26</v>
      </c>
      <c r="B51" s="27" t="s">
        <v>21</v>
      </c>
      <c r="C51" s="27" t="s">
        <v>33</v>
      </c>
      <c r="D51" s="29">
        <v>1</v>
      </c>
      <c r="E51" s="27" t="s">
        <v>53</v>
      </c>
      <c r="F51" s="28">
        <v>5.78</v>
      </c>
      <c r="G51" s="37" t="s">
        <v>201</v>
      </c>
      <c r="H51" s="30">
        <v>45916</v>
      </c>
      <c r="I51" s="30"/>
      <c r="J51" s="30">
        <f t="shared" si="7"/>
        <v>46006</v>
      </c>
      <c r="K51" s="38">
        <v>46113</v>
      </c>
      <c r="L51" s="38">
        <v>46142</v>
      </c>
      <c r="M51" s="235">
        <v>30</v>
      </c>
      <c r="N51" s="235">
        <f t="shared" si="8"/>
        <v>173.4</v>
      </c>
      <c r="O51" s="235">
        <f t="shared" si="9"/>
        <v>30</v>
      </c>
      <c r="P51" s="239">
        <f t="shared" si="10"/>
        <v>173.4</v>
      </c>
      <c r="Q51" s="241"/>
      <c r="R51" s="11"/>
      <c r="S51" s="11"/>
      <c r="T51" s="11"/>
    </row>
    <row r="52" customFormat="1" customHeight="1" spans="1:20">
      <c r="A52" s="27">
        <v>26</v>
      </c>
      <c r="B52" s="27" t="s">
        <v>21</v>
      </c>
      <c r="C52" s="27" t="s">
        <v>33</v>
      </c>
      <c r="D52" s="29">
        <v>1</v>
      </c>
      <c r="E52" s="27" t="s">
        <v>53</v>
      </c>
      <c r="F52" s="28">
        <v>5.78</v>
      </c>
      <c r="G52" s="37" t="s">
        <v>202</v>
      </c>
      <c r="H52" s="30">
        <v>45916</v>
      </c>
      <c r="I52" s="30"/>
      <c r="J52" s="30">
        <f t="shared" si="7"/>
        <v>46006</v>
      </c>
      <c r="K52" s="38">
        <v>46113</v>
      </c>
      <c r="L52" s="38">
        <v>46142</v>
      </c>
      <c r="M52" s="235">
        <v>30</v>
      </c>
      <c r="N52" s="235">
        <f t="shared" si="8"/>
        <v>173.4</v>
      </c>
      <c r="O52" s="235">
        <f t="shared" si="9"/>
        <v>30</v>
      </c>
      <c r="P52" s="239">
        <f t="shared" si="10"/>
        <v>173.4</v>
      </c>
      <c r="Q52" s="241"/>
      <c r="R52" s="11"/>
      <c r="S52" s="11"/>
      <c r="T52" s="11"/>
    </row>
    <row r="53" customFormat="1" customHeight="1" spans="1:20">
      <c r="A53" s="27">
        <v>26</v>
      </c>
      <c r="B53" s="27" t="s">
        <v>21</v>
      </c>
      <c r="C53" s="27" t="s">
        <v>33</v>
      </c>
      <c r="D53" s="29">
        <v>1</v>
      </c>
      <c r="E53" s="27" t="s">
        <v>53</v>
      </c>
      <c r="F53" s="28">
        <v>5.78</v>
      </c>
      <c r="G53" s="37" t="s">
        <v>203</v>
      </c>
      <c r="H53" s="30">
        <v>45916</v>
      </c>
      <c r="I53" s="30"/>
      <c r="J53" s="30">
        <f t="shared" si="7"/>
        <v>46006</v>
      </c>
      <c r="K53" s="38">
        <v>46113</v>
      </c>
      <c r="L53" s="38">
        <v>46142</v>
      </c>
      <c r="M53" s="235">
        <v>30</v>
      </c>
      <c r="N53" s="235">
        <f t="shared" si="8"/>
        <v>173.4</v>
      </c>
      <c r="O53" s="235">
        <f t="shared" si="9"/>
        <v>30</v>
      </c>
      <c r="P53" s="239">
        <f t="shared" si="10"/>
        <v>173.4</v>
      </c>
      <c r="Q53" s="241"/>
      <c r="R53" s="11"/>
      <c r="S53" s="11"/>
      <c r="T53" s="11"/>
    </row>
    <row r="54" customFormat="1" customHeight="1" spans="1:20">
      <c r="A54" s="27">
        <v>26</v>
      </c>
      <c r="B54" s="27" t="s">
        <v>21</v>
      </c>
      <c r="C54" s="27" t="s">
        <v>33</v>
      </c>
      <c r="D54" s="29">
        <v>1</v>
      </c>
      <c r="E54" s="27" t="s">
        <v>53</v>
      </c>
      <c r="F54" s="28">
        <v>5.78</v>
      </c>
      <c r="G54" s="37" t="s">
        <v>204</v>
      </c>
      <c r="H54" s="30">
        <v>45916</v>
      </c>
      <c r="I54" s="30"/>
      <c r="J54" s="30">
        <f t="shared" si="7"/>
        <v>46006</v>
      </c>
      <c r="K54" s="38">
        <v>46113</v>
      </c>
      <c r="L54" s="38">
        <v>46142</v>
      </c>
      <c r="M54" s="235">
        <v>30</v>
      </c>
      <c r="N54" s="235">
        <f t="shared" si="8"/>
        <v>173.4</v>
      </c>
      <c r="O54" s="235">
        <f t="shared" si="9"/>
        <v>30</v>
      </c>
      <c r="P54" s="239">
        <f t="shared" si="10"/>
        <v>173.4</v>
      </c>
      <c r="Q54" s="241"/>
      <c r="R54" s="11"/>
      <c r="S54" s="11"/>
      <c r="T54" s="11"/>
    </row>
    <row r="55" customFormat="1" customHeight="1" spans="1:20">
      <c r="A55" s="27">
        <v>26</v>
      </c>
      <c r="B55" s="27" t="s">
        <v>21</v>
      </c>
      <c r="C55" s="27" t="s">
        <v>33</v>
      </c>
      <c r="D55" s="29">
        <v>1</v>
      </c>
      <c r="E55" s="27" t="s">
        <v>53</v>
      </c>
      <c r="F55" s="28">
        <v>5.78</v>
      </c>
      <c r="G55" s="37" t="s">
        <v>207</v>
      </c>
      <c r="H55" s="30">
        <v>45916</v>
      </c>
      <c r="I55" s="30"/>
      <c r="J55" s="30">
        <f t="shared" si="7"/>
        <v>46006</v>
      </c>
      <c r="K55" s="38">
        <v>46113</v>
      </c>
      <c r="L55" s="38">
        <v>46142</v>
      </c>
      <c r="M55" s="235">
        <v>30</v>
      </c>
      <c r="N55" s="235">
        <f t="shared" si="8"/>
        <v>173.4</v>
      </c>
      <c r="O55" s="235">
        <f t="shared" si="9"/>
        <v>30</v>
      </c>
      <c r="P55" s="239">
        <f t="shared" si="10"/>
        <v>173.4</v>
      </c>
      <c r="Q55" s="241"/>
      <c r="R55" s="11"/>
      <c r="S55" s="11"/>
      <c r="T55" s="11"/>
    </row>
    <row r="56" customFormat="1" customHeight="1" spans="1:20">
      <c r="A56" s="27">
        <v>26</v>
      </c>
      <c r="B56" s="27" t="s">
        <v>21</v>
      </c>
      <c r="C56" s="27" t="s">
        <v>33</v>
      </c>
      <c r="D56" s="29">
        <v>1</v>
      </c>
      <c r="E56" s="27" t="s">
        <v>53</v>
      </c>
      <c r="F56" s="28">
        <v>5.78</v>
      </c>
      <c r="G56" s="37" t="s">
        <v>206</v>
      </c>
      <c r="H56" s="30">
        <v>45916</v>
      </c>
      <c r="I56" s="30"/>
      <c r="J56" s="30">
        <f t="shared" si="7"/>
        <v>46006</v>
      </c>
      <c r="K56" s="38">
        <v>46113</v>
      </c>
      <c r="L56" s="38">
        <v>46142</v>
      </c>
      <c r="M56" s="235">
        <v>30</v>
      </c>
      <c r="N56" s="235">
        <f t="shared" si="8"/>
        <v>173.4</v>
      </c>
      <c r="O56" s="235">
        <f t="shared" si="9"/>
        <v>30</v>
      </c>
      <c r="P56" s="239">
        <f t="shared" si="10"/>
        <v>173.4</v>
      </c>
      <c r="Q56" s="241"/>
      <c r="R56" s="11"/>
      <c r="S56" s="11"/>
      <c r="T56" s="11"/>
    </row>
    <row r="57" customFormat="1" customHeight="1" spans="1:20">
      <c r="A57" s="27">
        <v>26</v>
      </c>
      <c r="B57" s="27" t="s">
        <v>21</v>
      </c>
      <c r="C57" s="27" t="s">
        <v>33</v>
      </c>
      <c r="D57" s="29">
        <v>1</v>
      </c>
      <c r="E57" s="27" t="s">
        <v>53</v>
      </c>
      <c r="F57" s="28">
        <v>5.78</v>
      </c>
      <c r="G57" s="37" t="s">
        <v>205</v>
      </c>
      <c r="H57" s="30">
        <v>45916</v>
      </c>
      <c r="I57" s="30"/>
      <c r="J57" s="30">
        <f t="shared" si="7"/>
        <v>46006</v>
      </c>
      <c r="K57" s="38">
        <v>46113</v>
      </c>
      <c r="L57" s="38">
        <v>46142</v>
      </c>
      <c r="M57" s="235">
        <v>30</v>
      </c>
      <c r="N57" s="235">
        <f t="shared" si="8"/>
        <v>173.4</v>
      </c>
      <c r="O57" s="235">
        <f t="shared" si="9"/>
        <v>30</v>
      </c>
      <c r="P57" s="239">
        <f t="shared" si="10"/>
        <v>173.4</v>
      </c>
      <c r="Q57" s="241"/>
      <c r="R57" s="11"/>
      <c r="S57" s="11"/>
      <c r="T57" s="11"/>
    </row>
    <row r="58" customFormat="1" customHeight="1" spans="1:20">
      <c r="A58" s="27">
        <v>26</v>
      </c>
      <c r="B58" s="27" t="s">
        <v>21</v>
      </c>
      <c r="C58" s="27" t="s">
        <v>33</v>
      </c>
      <c r="D58" s="29">
        <v>1</v>
      </c>
      <c r="E58" s="27" t="s">
        <v>53</v>
      </c>
      <c r="F58" s="28">
        <v>5.78</v>
      </c>
      <c r="G58" s="37" t="s">
        <v>209</v>
      </c>
      <c r="H58" s="30">
        <v>45916</v>
      </c>
      <c r="I58" s="30"/>
      <c r="J58" s="30">
        <f t="shared" si="7"/>
        <v>46006</v>
      </c>
      <c r="K58" s="38">
        <v>46113</v>
      </c>
      <c r="L58" s="38">
        <v>46142</v>
      </c>
      <c r="M58" s="235">
        <v>30</v>
      </c>
      <c r="N58" s="235">
        <f t="shared" si="8"/>
        <v>173.4</v>
      </c>
      <c r="O58" s="235">
        <f t="shared" si="9"/>
        <v>30</v>
      </c>
      <c r="P58" s="239">
        <f t="shared" si="10"/>
        <v>173.4</v>
      </c>
      <c r="Q58" s="241"/>
      <c r="R58" s="11"/>
      <c r="S58" s="11"/>
      <c r="T58" s="11"/>
    </row>
    <row r="59" customFormat="1" customHeight="1" spans="1:20">
      <c r="A59" s="27">
        <v>26</v>
      </c>
      <c r="B59" s="27" t="s">
        <v>21</v>
      </c>
      <c r="C59" s="27" t="s">
        <v>33</v>
      </c>
      <c r="D59" s="29">
        <v>1</v>
      </c>
      <c r="E59" s="27" t="s">
        <v>53</v>
      </c>
      <c r="F59" s="28">
        <v>5.78</v>
      </c>
      <c r="G59" s="37" t="s">
        <v>208</v>
      </c>
      <c r="H59" s="30">
        <v>45916</v>
      </c>
      <c r="I59" s="30"/>
      <c r="J59" s="30">
        <f t="shared" si="7"/>
        <v>46006</v>
      </c>
      <c r="K59" s="38">
        <v>46113</v>
      </c>
      <c r="L59" s="38">
        <v>46142</v>
      </c>
      <c r="M59" s="235">
        <v>30</v>
      </c>
      <c r="N59" s="235">
        <f t="shared" si="8"/>
        <v>173.4</v>
      </c>
      <c r="O59" s="235">
        <f t="shared" si="9"/>
        <v>30</v>
      </c>
      <c r="P59" s="239">
        <f t="shared" si="10"/>
        <v>173.4</v>
      </c>
      <c r="Q59" s="241"/>
      <c r="R59" s="11"/>
      <c r="S59" s="11"/>
      <c r="T59" s="11"/>
    </row>
    <row r="60" customFormat="1" customHeight="1" spans="1:20">
      <c r="A60" s="27">
        <v>26</v>
      </c>
      <c r="B60" s="27" t="s">
        <v>21</v>
      </c>
      <c r="C60" s="27" t="s">
        <v>33</v>
      </c>
      <c r="D60" s="29">
        <v>1</v>
      </c>
      <c r="E60" s="27" t="s">
        <v>53</v>
      </c>
      <c r="F60" s="28">
        <v>5.78</v>
      </c>
      <c r="G60" s="37" t="s">
        <v>210</v>
      </c>
      <c r="H60" s="30">
        <v>45916</v>
      </c>
      <c r="I60" s="30"/>
      <c r="J60" s="30">
        <f t="shared" si="7"/>
        <v>46006</v>
      </c>
      <c r="K60" s="38">
        <v>46113</v>
      </c>
      <c r="L60" s="38">
        <v>46142</v>
      </c>
      <c r="M60" s="235">
        <v>30</v>
      </c>
      <c r="N60" s="235">
        <f t="shared" si="8"/>
        <v>173.4</v>
      </c>
      <c r="O60" s="235">
        <f t="shared" si="9"/>
        <v>30</v>
      </c>
      <c r="P60" s="239">
        <f t="shared" si="10"/>
        <v>173.4</v>
      </c>
      <c r="Q60" s="241"/>
      <c r="R60" s="11"/>
      <c r="S60" s="11"/>
      <c r="T60" s="11"/>
    </row>
    <row r="61" customFormat="1" customHeight="1" spans="1:20">
      <c r="A61" s="27">
        <v>26</v>
      </c>
      <c r="B61" s="27" t="s">
        <v>21</v>
      </c>
      <c r="C61" s="27" t="s">
        <v>33</v>
      </c>
      <c r="D61" s="29">
        <v>1</v>
      </c>
      <c r="E61" s="27" t="s">
        <v>53</v>
      </c>
      <c r="F61" s="28">
        <v>5.78</v>
      </c>
      <c r="G61" s="37" t="s">
        <v>215</v>
      </c>
      <c r="H61" s="30">
        <v>45917</v>
      </c>
      <c r="I61" s="30"/>
      <c r="J61" s="30">
        <f t="shared" si="7"/>
        <v>46007</v>
      </c>
      <c r="K61" s="38">
        <v>46113</v>
      </c>
      <c r="L61" s="38">
        <v>46142</v>
      </c>
      <c r="M61" s="235">
        <v>30</v>
      </c>
      <c r="N61" s="235">
        <f t="shared" si="8"/>
        <v>173.4</v>
      </c>
      <c r="O61" s="235">
        <f t="shared" si="9"/>
        <v>30</v>
      </c>
      <c r="P61" s="239">
        <f t="shared" si="10"/>
        <v>173.4</v>
      </c>
      <c r="Q61" s="241"/>
      <c r="R61" s="11"/>
      <c r="S61" s="11"/>
      <c r="T61" s="11"/>
    </row>
    <row r="62" customFormat="1" customHeight="1" spans="1:20">
      <c r="A62" s="27">
        <v>26</v>
      </c>
      <c r="B62" s="27" t="s">
        <v>21</v>
      </c>
      <c r="C62" s="27" t="s">
        <v>33</v>
      </c>
      <c r="D62" s="29">
        <v>1</v>
      </c>
      <c r="E62" s="27" t="s">
        <v>53</v>
      </c>
      <c r="F62" s="28">
        <v>5.78</v>
      </c>
      <c r="G62" s="37" t="s">
        <v>216</v>
      </c>
      <c r="H62" s="30">
        <v>45917</v>
      </c>
      <c r="I62" s="30"/>
      <c r="J62" s="30">
        <f t="shared" si="7"/>
        <v>46007</v>
      </c>
      <c r="K62" s="38">
        <v>46113</v>
      </c>
      <c r="L62" s="38">
        <v>46142</v>
      </c>
      <c r="M62" s="235">
        <v>30</v>
      </c>
      <c r="N62" s="235">
        <f t="shared" si="8"/>
        <v>173.4</v>
      </c>
      <c r="O62" s="235">
        <f t="shared" si="9"/>
        <v>30</v>
      </c>
      <c r="P62" s="239">
        <f t="shared" si="10"/>
        <v>173.4</v>
      </c>
      <c r="Q62" s="241"/>
      <c r="R62" s="11"/>
      <c r="S62" s="11"/>
      <c r="T62" s="11"/>
    </row>
    <row r="63" customFormat="1" customHeight="1" spans="1:20">
      <c r="A63" s="27">
        <v>26</v>
      </c>
      <c r="B63" s="27" t="s">
        <v>21</v>
      </c>
      <c r="C63" s="27" t="s">
        <v>33</v>
      </c>
      <c r="D63" s="29">
        <v>1</v>
      </c>
      <c r="E63" s="27" t="s">
        <v>53</v>
      </c>
      <c r="F63" s="28">
        <v>5.78</v>
      </c>
      <c r="G63" s="37" t="s">
        <v>217</v>
      </c>
      <c r="H63" s="30">
        <v>45917</v>
      </c>
      <c r="I63" s="30"/>
      <c r="J63" s="30">
        <f t="shared" si="7"/>
        <v>46007</v>
      </c>
      <c r="K63" s="38">
        <v>46113</v>
      </c>
      <c r="L63" s="38">
        <v>46142</v>
      </c>
      <c r="M63" s="235">
        <v>30</v>
      </c>
      <c r="N63" s="235">
        <f t="shared" si="8"/>
        <v>173.4</v>
      </c>
      <c r="O63" s="235">
        <f t="shared" si="9"/>
        <v>30</v>
      </c>
      <c r="P63" s="239">
        <f t="shared" si="10"/>
        <v>173.4</v>
      </c>
      <c r="Q63" s="241"/>
      <c r="R63" s="11"/>
      <c r="S63" s="11"/>
      <c r="T63" s="11"/>
    </row>
    <row r="64" customFormat="1" customHeight="1" spans="1:20">
      <c r="A64" s="27">
        <v>26</v>
      </c>
      <c r="B64" s="27" t="s">
        <v>21</v>
      </c>
      <c r="C64" s="27" t="s">
        <v>33</v>
      </c>
      <c r="D64" s="29">
        <v>1</v>
      </c>
      <c r="E64" s="27" t="s">
        <v>53</v>
      </c>
      <c r="F64" s="28">
        <v>5.78</v>
      </c>
      <c r="G64" s="37" t="s">
        <v>218</v>
      </c>
      <c r="H64" s="30">
        <v>45917</v>
      </c>
      <c r="I64" s="30"/>
      <c r="J64" s="30">
        <f t="shared" si="7"/>
        <v>46007</v>
      </c>
      <c r="K64" s="38">
        <v>46113</v>
      </c>
      <c r="L64" s="38">
        <v>46142</v>
      </c>
      <c r="M64" s="235">
        <v>30</v>
      </c>
      <c r="N64" s="235">
        <f t="shared" si="8"/>
        <v>173.4</v>
      </c>
      <c r="O64" s="235">
        <f t="shared" si="9"/>
        <v>30</v>
      </c>
      <c r="P64" s="239">
        <f t="shared" si="10"/>
        <v>173.4</v>
      </c>
      <c r="Q64" s="241"/>
      <c r="R64" s="11"/>
      <c r="S64" s="11"/>
      <c r="T64" s="11"/>
    </row>
    <row r="65" customFormat="1" customHeight="1" spans="1:20">
      <c r="A65" s="27">
        <v>26</v>
      </c>
      <c r="B65" s="27" t="s">
        <v>21</v>
      </c>
      <c r="C65" s="27" t="s">
        <v>33</v>
      </c>
      <c r="D65" s="29">
        <v>1</v>
      </c>
      <c r="E65" s="27" t="s">
        <v>53</v>
      </c>
      <c r="F65" s="28">
        <v>5.78</v>
      </c>
      <c r="G65" s="37" t="s">
        <v>219</v>
      </c>
      <c r="H65" s="30">
        <v>45917</v>
      </c>
      <c r="I65" s="30"/>
      <c r="J65" s="30">
        <f t="shared" si="7"/>
        <v>46007</v>
      </c>
      <c r="K65" s="38">
        <v>46113</v>
      </c>
      <c r="L65" s="38">
        <v>46142</v>
      </c>
      <c r="M65" s="235">
        <v>30</v>
      </c>
      <c r="N65" s="235">
        <f t="shared" si="8"/>
        <v>173.4</v>
      </c>
      <c r="O65" s="235">
        <f t="shared" si="9"/>
        <v>30</v>
      </c>
      <c r="P65" s="239">
        <f t="shared" si="10"/>
        <v>173.4</v>
      </c>
      <c r="Q65" s="241"/>
      <c r="R65" s="11"/>
      <c r="S65" s="11"/>
      <c r="T65" s="11"/>
    </row>
    <row r="66" customFormat="1" customHeight="1" spans="1:20">
      <c r="A66" s="27">
        <v>26</v>
      </c>
      <c r="B66" s="27" t="s">
        <v>21</v>
      </c>
      <c r="C66" s="27" t="s">
        <v>33</v>
      </c>
      <c r="D66" s="29">
        <v>1</v>
      </c>
      <c r="E66" s="27" t="s">
        <v>53</v>
      </c>
      <c r="F66" s="28">
        <v>5.78</v>
      </c>
      <c r="G66" s="37" t="s">
        <v>220</v>
      </c>
      <c r="H66" s="30">
        <v>45917</v>
      </c>
      <c r="I66" s="30"/>
      <c r="J66" s="30">
        <f t="shared" si="7"/>
        <v>46007</v>
      </c>
      <c r="K66" s="38">
        <v>46113</v>
      </c>
      <c r="L66" s="38">
        <v>46142</v>
      </c>
      <c r="M66" s="235">
        <v>30</v>
      </c>
      <c r="N66" s="235">
        <f t="shared" si="8"/>
        <v>173.4</v>
      </c>
      <c r="O66" s="235">
        <f t="shared" si="9"/>
        <v>30</v>
      </c>
      <c r="P66" s="239">
        <f t="shared" si="10"/>
        <v>173.4</v>
      </c>
      <c r="Q66" s="241"/>
      <c r="R66" s="11"/>
      <c r="S66" s="11"/>
      <c r="T66" s="11"/>
    </row>
    <row r="67" customFormat="1" customHeight="1" spans="1:20">
      <c r="A67" s="27">
        <v>26</v>
      </c>
      <c r="B67" s="27" t="s">
        <v>21</v>
      </c>
      <c r="C67" s="27" t="s">
        <v>33</v>
      </c>
      <c r="D67" s="29">
        <v>1</v>
      </c>
      <c r="E67" s="27" t="s">
        <v>53</v>
      </c>
      <c r="F67" s="28">
        <v>5.78</v>
      </c>
      <c r="G67" s="37" t="s">
        <v>221</v>
      </c>
      <c r="H67" s="30">
        <v>45917</v>
      </c>
      <c r="I67" s="30"/>
      <c r="J67" s="30">
        <f t="shared" si="7"/>
        <v>46007</v>
      </c>
      <c r="K67" s="38">
        <v>46113</v>
      </c>
      <c r="L67" s="38">
        <v>46142</v>
      </c>
      <c r="M67" s="235">
        <v>30</v>
      </c>
      <c r="N67" s="235">
        <f t="shared" si="8"/>
        <v>173.4</v>
      </c>
      <c r="O67" s="235">
        <f t="shared" si="9"/>
        <v>30</v>
      </c>
      <c r="P67" s="239">
        <f t="shared" si="10"/>
        <v>173.4</v>
      </c>
      <c r="Q67" s="241"/>
      <c r="R67" s="11"/>
      <c r="S67" s="11"/>
      <c r="T67" s="11"/>
    </row>
    <row r="68" customFormat="1" customHeight="1" spans="1:20">
      <c r="A68" s="27">
        <v>26</v>
      </c>
      <c r="B68" s="27" t="s">
        <v>21</v>
      </c>
      <c r="C68" s="27" t="s">
        <v>22</v>
      </c>
      <c r="D68" s="29">
        <v>1</v>
      </c>
      <c r="E68" s="27" t="s">
        <v>53</v>
      </c>
      <c r="F68" s="28">
        <v>5.53</v>
      </c>
      <c r="G68" s="27" t="s">
        <v>222</v>
      </c>
      <c r="H68" s="42">
        <v>46087</v>
      </c>
      <c r="I68" s="42"/>
      <c r="J68" s="30">
        <f t="shared" si="7"/>
        <v>46177</v>
      </c>
      <c r="K68" s="38">
        <v>46113</v>
      </c>
      <c r="L68" s="38">
        <v>46142</v>
      </c>
      <c r="M68" s="235">
        <v>30</v>
      </c>
      <c r="N68" s="235">
        <f t="shared" si="8"/>
        <v>165.9</v>
      </c>
      <c r="O68" s="235">
        <v>0</v>
      </c>
      <c r="P68" s="239">
        <f t="shared" si="10"/>
        <v>0</v>
      </c>
      <c r="Q68" s="244" t="s">
        <v>223</v>
      </c>
      <c r="R68" s="11"/>
      <c r="S68" s="11"/>
      <c r="T68" s="11"/>
    </row>
    <row r="69" customFormat="1" customHeight="1" spans="1:20">
      <c r="A69" s="27">
        <v>26</v>
      </c>
      <c r="B69" s="27" t="s">
        <v>21</v>
      </c>
      <c r="C69" s="27" t="s">
        <v>22</v>
      </c>
      <c r="D69" s="29">
        <v>1</v>
      </c>
      <c r="E69" s="27" t="s">
        <v>53</v>
      </c>
      <c r="F69" s="28">
        <v>5.53</v>
      </c>
      <c r="G69" s="27" t="s">
        <v>224</v>
      </c>
      <c r="H69" s="42">
        <v>46087</v>
      </c>
      <c r="I69" s="42"/>
      <c r="J69" s="30">
        <f t="shared" si="7"/>
        <v>46177</v>
      </c>
      <c r="K69" s="38">
        <v>46113</v>
      </c>
      <c r="L69" s="38">
        <v>46142</v>
      </c>
      <c r="M69" s="235">
        <v>30</v>
      </c>
      <c r="N69" s="235">
        <f t="shared" si="8"/>
        <v>165.9</v>
      </c>
      <c r="O69" s="235">
        <v>0</v>
      </c>
      <c r="P69" s="239">
        <f t="shared" si="10"/>
        <v>0</v>
      </c>
      <c r="Q69" s="245" t="s">
        <v>225</v>
      </c>
      <c r="R69" s="11"/>
      <c r="S69" s="11"/>
      <c r="T69" s="11"/>
    </row>
    <row r="70" customFormat="1" customHeight="1" spans="1:20">
      <c r="A70" s="27">
        <v>26</v>
      </c>
      <c r="B70" s="27" t="s">
        <v>21</v>
      </c>
      <c r="C70" s="27" t="s">
        <v>22</v>
      </c>
      <c r="D70" s="29">
        <v>1</v>
      </c>
      <c r="E70" s="27" t="s">
        <v>53</v>
      </c>
      <c r="F70" s="28">
        <v>5.53</v>
      </c>
      <c r="G70" s="27" t="s">
        <v>226</v>
      </c>
      <c r="H70" s="42">
        <v>46087</v>
      </c>
      <c r="I70" s="42"/>
      <c r="J70" s="30">
        <f t="shared" si="7"/>
        <v>46177</v>
      </c>
      <c r="K70" s="38">
        <v>46113</v>
      </c>
      <c r="L70" s="38">
        <v>46142</v>
      </c>
      <c r="M70" s="235">
        <v>30</v>
      </c>
      <c r="N70" s="235">
        <f t="shared" si="8"/>
        <v>165.9</v>
      </c>
      <c r="O70" s="235">
        <v>0</v>
      </c>
      <c r="P70" s="239">
        <f t="shared" si="10"/>
        <v>0</v>
      </c>
      <c r="Q70" s="245" t="s">
        <v>227</v>
      </c>
      <c r="R70" s="11"/>
      <c r="S70" s="11"/>
      <c r="T70" s="11"/>
    </row>
    <row r="71" customFormat="1" customHeight="1" spans="1:20">
      <c r="A71" s="27">
        <v>26</v>
      </c>
      <c r="B71" s="27" t="s">
        <v>21</v>
      </c>
      <c r="C71" s="27" t="s">
        <v>22</v>
      </c>
      <c r="D71" s="29">
        <v>1</v>
      </c>
      <c r="E71" s="27" t="s">
        <v>53</v>
      </c>
      <c r="F71" s="28">
        <v>5.53</v>
      </c>
      <c r="G71" s="27" t="s">
        <v>228</v>
      </c>
      <c r="H71" s="42">
        <v>46087</v>
      </c>
      <c r="I71" s="42"/>
      <c r="J71" s="30">
        <f t="shared" si="7"/>
        <v>46177</v>
      </c>
      <c r="K71" s="38">
        <v>46113</v>
      </c>
      <c r="L71" s="38">
        <v>46142</v>
      </c>
      <c r="M71" s="235">
        <v>30</v>
      </c>
      <c r="N71" s="235">
        <f t="shared" si="8"/>
        <v>165.9</v>
      </c>
      <c r="O71" s="235">
        <v>0</v>
      </c>
      <c r="P71" s="239">
        <f t="shared" si="10"/>
        <v>0</v>
      </c>
      <c r="Q71" s="245" t="s">
        <v>229</v>
      </c>
      <c r="R71" s="11"/>
      <c r="S71" s="11"/>
      <c r="T71" s="11"/>
    </row>
    <row r="72" customFormat="1" customHeight="1" spans="1:20">
      <c r="A72" s="27">
        <v>26</v>
      </c>
      <c r="B72" s="27" t="s">
        <v>21</v>
      </c>
      <c r="C72" s="27" t="s">
        <v>22</v>
      </c>
      <c r="D72" s="29">
        <v>1</v>
      </c>
      <c r="E72" s="27" t="s">
        <v>53</v>
      </c>
      <c r="F72" s="28">
        <v>5.53</v>
      </c>
      <c r="G72" s="27" t="s">
        <v>230</v>
      </c>
      <c r="H72" s="42">
        <v>46087</v>
      </c>
      <c r="I72" s="42"/>
      <c r="J72" s="30">
        <f t="shared" si="7"/>
        <v>46177</v>
      </c>
      <c r="K72" s="38">
        <v>46113</v>
      </c>
      <c r="L72" s="38">
        <v>46142</v>
      </c>
      <c r="M72" s="235">
        <v>30</v>
      </c>
      <c r="N72" s="235">
        <f t="shared" si="8"/>
        <v>165.9</v>
      </c>
      <c r="O72" s="235">
        <v>0</v>
      </c>
      <c r="P72" s="239">
        <f t="shared" si="10"/>
        <v>0</v>
      </c>
      <c r="Q72" s="246" t="s">
        <v>231</v>
      </c>
      <c r="R72" s="11"/>
      <c r="S72" s="11"/>
      <c r="T72" s="11"/>
    </row>
    <row r="73" customFormat="1" customHeight="1" spans="1:20">
      <c r="A73" s="27">
        <v>26</v>
      </c>
      <c r="B73" s="27" t="s">
        <v>21</v>
      </c>
      <c r="C73" s="27" t="s">
        <v>22</v>
      </c>
      <c r="D73" s="29">
        <v>1</v>
      </c>
      <c r="E73" s="27" t="s">
        <v>53</v>
      </c>
      <c r="F73" s="28">
        <v>5.53</v>
      </c>
      <c r="G73" s="27" t="s">
        <v>232</v>
      </c>
      <c r="H73" s="42">
        <v>46087</v>
      </c>
      <c r="I73" s="42"/>
      <c r="J73" s="30">
        <f t="shared" si="7"/>
        <v>46177</v>
      </c>
      <c r="K73" s="38">
        <v>46113</v>
      </c>
      <c r="L73" s="38">
        <v>46142</v>
      </c>
      <c r="M73" s="235">
        <v>30</v>
      </c>
      <c r="N73" s="235">
        <f t="shared" si="8"/>
        <v>165.9</v>
      </c>
      <c r="O73" s="235">
        <v>0</v>
      </c>
      <c r="P73" s="239">
        <f t="shared" si="10"/>
        <v>0</v>
      </c>
      <c r="Q73" s="241"/>
      <c r="R73" s="11"/>
      <c r="S73" s="11"/>
      <c r="T73" s="11"/>
    </row>
    <row r="74" customFormat="1" customHeight="1" spans="1:20">
      <c r="A74" s="27">
        <v>26</v>
      </c>
      <c r="B74" s="27" t="s">
        <v>21</v>
      </c>
      <c r="C74" s="27" t="s">
        <v>22</v>
      </c>
      <c r="D74" s="29">
        <v>1</v>
      </c>
      <c r="E74" s="27" t="s">
        <v>53</v>
      </c>
      <c r="F74" s="28">
        <v>5.53</v>
      </c>
      <c r="G74" s="27" t="s">
        <v>233</v>
      </c>
      <c r="H74" s="42">
        <v>46087</v>
      </c>
      <c r="I74" s="42"/>
      <c r="J74" s="30">
        <f t="shared" si="7"/>
        <v>46177</v>
      </c>
      <c r="K74" s="38">
        <v>46113</v>
      </c>
      <c r="L74" s="38">
        <v>46142</v>
      </c>
      <c r="M74" s="235">
        <v>30</v>
      </c>
      <c r="N74" s="235">
        <f t="shared" si="8"/>
        <v>165.9</v>
      </c>
      <c r="O74" s="235">
        <v>0</v>
      </c>
      <c r="P74" s="239">
        <f t="shared" si="10"/>
        <v>0</v>
      </c>
      <c r="Q74" s="241"/>
      <c r="R74" s="11"/>
      <c r="S74" s="11"/>
      <c r="T74" s="11"/>
    </row>
    <row r="75" customFormat="1" customHeight="1" spans="1:20">
      <c r="A75" s="27">
        <v>26</v>
      </c>
      <c r="B75" s="27" t="s">
        <v>21</v>
      </c>
      <c r="C75" s="27" t="s">
        <v>22</v>
      </c>
      <c r="D75" s="29">
        <v>1</v>
      </c>
      <c r="E75" s="27" t="s">
        <v>53</v>
      </c>
      <c r="F75" s="28">
        <v>5.53</v>
      </c>
      <c r="G75" s="27" t="s">
        <v>234</v>
      </c>
      <c r="H75" s="42">
        <v>46087</v>
      </c>
      <c r="I75" s="42"/>
      <c r="J75" s="30">
        <f t="shared" si="7"/>
        <v>46177</v>
      </c>
      <c r="K75" s="38">
        <v>46113</v>
      </c>
      <c r="L75" s="38">
        <v>46142</v>
      </c>
      <c r="M75" s="235">
        <v>30</v>
      </c>
      <c r="N75" s="235">
        <f t="shared" si="8"/>
        <v>165.9</v>
      </c>
      <c r="O75" s="235">
        <v>0</v>
      </c>
      <c r="P75" s="239">
        <f t="shared" si="10"/>
        <v>0</v>
      </c>
      <c r="Q75" s="241"/>
      <c r="R75" s="11"/>
      <c r="S75" s="11"/>
      <c r="T75" s="11"/>
    </row>
    <row r="76" customFormat="1" customHeight="1" spans="1:20">
      <c r="A76" s="27">
        <v>26</v>
      </c>
      <c r="B76" s="27" t="s">
        <v>21</v>
      </c>
      <c r="C76" s="27" t="s">
        <v>22</v>
      </c>
      <c r="D76" s="29">
        <v>1</v>
      </c>
      <c r="E76" s="27" t="s">
        <v>53</v>
      </c>
      <c r="F76" s="28">
        <v>5.53</v>
      </c>
      <c r="G76" s="27" t="s">
        <v>235</v>
      </c>
      <c r="H76" s="42">
        <v>46087</v>
      </c>
      <c r="I76" s="42"/>
      <c r="J76" s="30">
        <f t="shared" si="7"/>
        <v>46177</v>
      </c>
      <c r="K76" s="38">
        <v>46113</v>
      </c>
      <c r="L76" s="38">
        <v>46142</v>
      </c>
      <c r="M76" s="235">
        <v>30</v>
      </c>
      <c r="N76" s="235">
        <f t="shared" si="8"/>
        <v>165.9</v>
      </c>
      <c r="O76" s="235">
        <v>0</v>
      </c>
      <c r="P76" s="239">
        <f t="shared" si="10"/>
        <v>0</v>
      </c>
      <c r="Q76" s="241"/>
      <c r="R76" s="11"/>
      <c r="S76" s="11"/>
      <c r="T76" s="11"/>
    </row>
    <row r="77" customFormat="1" customHeight="1" spans="1:20">
      <c r="A77" s="27">
        <v>26</v>
      </c>
      <c r="B77" s="27" t="s">
        <v>21</v>
      </c>
      <c r="C77" s="27" t="s">
        <v>22</v>
      </c>
      <c r="D77" s="29">
        <v>1</v>
      </c>
      <c r="E77" s="27" t="s">
        <v>53</v>
      </c>
      <c r="F77" s="28">
        <v>5.53</v>
      </c>
      <c r="G77" s="27" t="s">
        <v>236</v>
      </c>
      <c r="H77" s="42">
        <v>46087</v>
      </c>
      <c r="I77" s="42"/>
      <c r="J77" s="30">
        <f t="shared" si="7"/>
        <v>46177</v>
      </c>
      <c r="K77" s="38">
        <v>46113</v>
      </c>
      <c r="L77" s="38">
        <v>46142</v>
      </c>
      <c r="M77" s="235">
        <v>30</v>
      </c>
      <c r="N77" s="235">
        <f t="shared" si="8"/>
        <v>165.9</v>
      </c>
      <c r="O77" s="235">
        <v>0</v>
      </c>
      <c r="P77" s="239">
        <f t="shared" si="10"/>
        <v>0</v>
      </c>
      <c r="Q77" s="241"/>
      <c r="R77" s="11"/>
      <c r="S77" s="11"/>
      <c r="T77" s="11"/>
    </row>
    <row r="78" customFormat="1" customHeight="1" spans="1:20">
      <c r="A78" s="27">
        <v>26</v>
      </c>
      <c r="B78" s="27" t="s">
        <v>21</v>
      </c>
      <c r="C78" s="27" t="s">
        <v>22</v>
      </c>
      <c r="D78" s="29">
        <v>1</v>
      </c>
      <c r="E78" s="27" t="s">
        <v>53</v>
      </c>
      <c r="F78" s="28">
        <v>5.53</v>
      </c>
      <c r="G78" s="27" t="s">
        <v>237</v>
      </c>
      <c r="H78" s="42">
        <v>46087</v>
      </c>
      <c r="I78" s="42"/>
      <c r="J78" s="30">
        <f t="shared" si="7"/>
        <v>46177</v>
      </c>
      <c r="K78" s="38">
        <v>46113</v>
      </c>
      <c r="L78" s="38">
        <v>46142</v>
      </c>
      <c r="M78" s="235">
        <v>30</v>
      </c>
      <c r="N78" s="235">
        <f t="shared" si="8"/>
        <v>165.9</v>
      </c>
      <c r="O78" s="235">
        <v>0</v>
      </c>
      <c r="P78" s="239">
        <f t="shared" si="10"/>
        <v>0</v>
      </c>
      <c r="Q78" s="241"/>
      <c r="R78" s="11"/>
      <c r="S78" s="11"/>
      <c r="T78" s="11"/>
    </row>
    <row r="79" customFormat="1" customHeight="1" spans="1:20">
      <c r="A79" s="27">
        <v>26</v>
      </c>
      <c r="B79" s="27" t="s">
        <v>21</v>
      </c>
      <c r="C79" s="27" t="s">
        <v>22</v>
      </c>
      <c r="D79" s="29">
        <v>1</v>
      </c>
      <c r="E79" s="27" t="s">
        <v>53</v>
      </c>
      <c r="F79" s="28">
        <v>5.53</v>
      </c>
      <c r="G79" s="27" t="s">
        <v>238</v>
      </c>
      <c r="H79" s="42">
        <v>46087</v>
      </c>
      <c r="I79" s="42"/>
      <c r="J79" s="30">
        <f t="shared" si="7"/>
        <v>46177</v>
      </c>
      <c r="K79" s="38">
        <v>46113</v>
      </c>
      <c r="L79" s="38">
        <v>46142</v>
      </c>
      <c r="M79" s="235">
        <v>30</v>
      </c>
      <c r="N79" s="235">
        <f t="shared" si="8"/>
        <v>165.9</v>
      </c>
      <c r="O79" s="235">
        <v>0</v>
      </c>
      <c r="P79" s="239">
        <f t="shared" si="10"/>
        <v>0</v>
      </c>
      <c r="Q79" s="241"/>
      <c r="R79" s="11"/>
      <c r="S79" s="11"/>
      <c r="T79" s="11"/>
    </row>
    <row r="80" customFormat="1" customHeight="1" spans="1:20">
      <c r="A80" s="27">
        <v>26</v>
      </c>
      <c r="B80" s="27" t="s">
        <v>21</v>
      </c>
      <c r="C80" s="27" t="s">
        <v>22</v>
      </c>
      <c r="D80" s="29">
        <v>1</v>
      </c>
      <c r="E80" s="27" t="s">
        <v>53</v>
      </c>
      <c r="F80" s="28">
        <v>5.53</v>
      </c>
      <c r="G80" s="27" t="s">
        <v>239</v>
      </c>
      <c r="H80" s="42">
        <v>46087</v>
      </c>
      <c r="I80" s="42"/>
      <c r="J80" s="30">
        <f t="shared" si="7"/>
        <v>46177</v>
      </c>
      <c r="K80" s="38">
        <v>46113</v>
      </c>
      <c r="L80" s="38">
        <v>46142</v>
      </c>
      <c r="M80" s="235">
        <v>30</v>
      </c>
      <c r="N80" s="235">
        <f t="shared" si="8"/>
        <v>165.9</v>
      </c>
      <c r="O80" s="235">
        <v>0</v>
      </c>
      <c r="P80" s="239">
        <f t="shared" si="10"/>
        <v>0</v>
      </c>
      <c r="Q80" s="241"/>
      <c r="R80" s="11"/>
      <c r="S80" s="11"/>
      <c r="T80" s="11"/>
    </row>
    <row r="81" customFormat="1" customHeight="1" spans="1:20">
      <c r="A81" s="27">
        <v>26</v>
      </c>
      <c r="B81" s="27" t="s">
        <v>21</v>
      </c>
      <c r="C81" s="27" t="s">
        <v>22</v>
      </c>
      <c r="D81" s="29">
        <v>1</v>
      </c>
      <c r="E81" s="27" t="s">
        <v>53</v>
      </c>
      <c r="F81" s="28">
        <v>5.53</v>
      </c>
      <c r="G81" s="27" t="s">
        <v>240</v>
      </c>
      <c r="H81" s="42">
        <v>46087</v>
      </c>
      <c r="I81" s="42"/>
      <c r="J81" s="30">
        <f t="shared" si="7"/>
        <v>46177</v>
      </c>
      <c r="K81" s="38">
        <v>46113</v>
      </c>
      <c r="L81" s="38">
        <v>46142</v>
      </c>
      <c r="M81" s="235">
        <v>30</v>
      </c>
      <c r="N81" s="235">
        <f t="shared" si="8"/>
        <v>165.9</v>
      </c>
      <c r="O81" s="235">
        <v>0</v>
      </c>
      <c r="P81" s="239">
        <f t="shared" si="10"/>
        <v>0</v>
      </c>
      <c r="Q81" s="241"/>
      <c r="R81" s="11"/>
      <c r="S81" s="11"/>
      <c r="T81" s="11"/>
    </row>
    <row r="82" customFormat="1" customHeight="1" spans="1:20">
      <c r="A82" s="27">
        <v>26</v>
      </c>
      <c r="B82" s="27" t="s">
        <v>21</v>
      </c>
      <c r="C82" s="27" t="s">
        <v>22</v>
      </c>
      <c r="D82" s="29">
        <v>1</v>
      </c>
      <c r="E82" s="27" t="s">
        <v>53</v>
      </c>
      <c r="F82" s="28">
        <v>5.53</v>
      </c>
      <c r="G82" s="27" t="s">
        <v>241</v>
      </c>
      <c r="H82" s="42">
        <v>46087</v>
      </c>
      <c r="I82" s="42"/>
      <c r="J82" s="30">
        <f t="shared" si="7"/>
        <v>46177</v>
      </c>
      <c r="K82" s="38">
        <v>46113</v>
      </c>
      <c r="L82" s="38">
        <v>46142</v>
      </c>
      <c r="M82" s="235">
        <v>30</v>
      </c>
      <c r="N82" s="235">
        <f t="shared" si="8"/>
        <v>165.9</v>
      </c>
      <c r="O82" s="235">
        <v>0</v>
      </c>
      <c r="P82" s="239">
        <f t="shared" si="10"/>
        <v>0</v>
      </c>
      <c r="Q82" s="241"/>
      <c r="R82" s="11"/>
      <c r="S82" s="11"/>
      <c r="T82" s="11"/>
    </row>
    <row r="83" customFormat="1" customHeight="1" spans="1:20">
      <c r="A83" s="27">
        <v>26</v>
      </c>
      <c r="B83" s="27" t="s">
        <v>21</v>
      </c>
      <c r="C83" s="27" t="s">
        <v>22</v>
      </c>
      <c r="D83" s="29">
        <v>1</v>
      </c>
      <c r="E83" s="27" t="s">
        <v>53</v>
      </c>
      <c r="F83" s="28">
        <v>5.53</v>
      </c>
      <c r="G83" s="27" t="s">
        <v>242</v>
      </c>
      <c r="H83" s="42">
        <v>46087</v>
      </c>
      <c r="I83" s="42"/>
      <c r="J83" s="30">
        <f t="shared" si="7"/>
        <v>46177</v>
      </c>
      <c r="K83" s="38">
        <v>46113</v>
      </c>
      <c r="L83" s="38">
        <v>46142</v>
      </c>
      <c r="M83" s="235">
        <v>30</v>
      </c>
      <c r="N83" s="235">
        <f t="shared" si="8"/>
        <v>165.9</v>
      </c>
      <c r="O83" s="235">
        <v>0</v>
      </c>
      <c r="P83" s="239">
        <f t="shared" si="10"/>
        <v>0</v>
      </c>
      <c r="Q83" s="241"/>
      <c r="R83" s="11"/>
      <c r="S83" s="11"/>
      <c r="T83" s="11"/>
    </row>
    <row r="84" customFormat="1" customHeight="1" spans="1:20">
      <c r="A84" s="27">
        <v>26</v>
      </c>
      <c r="B84" s="27" t="s">
        <v>21</v>
      </c>
      <c r="C84" s="27" t="s">
        <v>22</v>
      </c>
      <c r="D84" s="29">
        <v>1</v>
      </c>
      <c r="E84" s="27" t="s">
        <v>53</v>
      </c>
      <c r="F84" s="28">
        <v>5.53</v>
      </c>
      <c r="G84" s="27" t="s">
        <v>243</v>
      </c>
      <c r="H84" s="42">
        <v>46087</v>
      </c>
      <c r="I84" s="42"/>
      <c r="J84" s="30">
        <f t="shared" si="7"/>
        <v>46177</v>
      </c>
      <c r="K84" s="38">
        <v>46113</v>
      </c>
      <c r="L84" s="38">
        <v>46142</v>
      </c>
      <c r="M84" s="235">
        <v>30</v>
      </c>
      <c r="N84" s="235">
        <f t="shared" si="8"/>
        <v>165.9</v>
      </c>
      <c r="O84" s="235">
        <v>0</v>
      </c>
      <c r="P84" s="239">
        <f t="shared" si="10"/>
        <v>0</v>
      </c>
      <c r="Q84" s="241"/>
      <c r="R84" s="11"/>
      <c r="S84" s="11"/>
      <c r="T84" s="11"/>
    </row>
    <row r="85" customFormat="1" customHeight="1" spans="1:20">
      <c r="A85" s="27">
        <v>26</v>
      </c>
      <c r="B85" s="27" t="s">
        <v>21</v>
      </c>
      <c r="C85" s="27" t="s">
        <v>22</v>
      </c>
      <c r="D85" s="29">
        <v>1</v>
      </c>
      <c r="E85" s="27" t="s">
        <v>53</v>
      </c>
      <c r="F85" s="28">
        <v>5.53</v>
      </c>
      <c r="G85" s="27" t="s">
        <v>244</v>
      </c>
      <c r="H85" s="42">
        <v>46087</v>
      </c>
      <c r="I85" s="42"/>
      <c r="J85" s="30">
        <f t="shared" si="7"/>
        <v>46177</v>
      </c>
      <c r="K85" s="38">
        <v>46113</v>
      </c>
      <c r="L85" s="38">
        <v>46142</v>
      </c>
      <c r="M85" s="235">
        <v>30</v>
      </c>
      <c r="N85" s="235">
        <f t="shared" si="8"/>
        <v>165.9</v>
      </c>
      <c r="O85" s="235">
        <v>0</v>
      </c>
      <c r="P85" s="239">
        <f t="shared" si="10"/>
        <v>0</v>
      </c>
      <c r="Q85" s="241"/>
      <c r="R85" s="11"/>
      <c r="S85" s="11"/>
      <c r="T85" s="11"/>
    </row>
    <row r="86" customFormat="1" customHeight="1" spans="1:20">
      <c r="A86" s="27">
        <v>26</v>
      </c>
      <c r="B86" s="27" t="s">
        <v>21</v>
      </c>
      <c r="C86" s="27" t="s">
        <v>22</v>
      </c>
      <c r="D86" s="29">
        <v>1</v>
      </c>
      <c r="E86" s="27" t="s">
        <v>53</v>
      </c>
      <c r="F86" s="28">
        <v>5.53</v>
      </c>
      <c r="G86" s="27" t="s">
        <v>245</v>
      </c>
      <c r="H86" s="42">
        <v>46087</v>
      </c>
      <c r="I86" s="42"/>
      <c r="J86" s="30">
        <f t="shared" si="7"/>
        <v>46177</v>
      </c>
      <c r="K86" s="38">
        <v>46113</v>
      </c>
      <c r="L86" s="38">
        <v>46142</v>
      </c>
      <c r="M86" s="235">
        <v>30</v>
      </c>
      <c r="N86" s="235">
        <f t="shared" si="8"/>
        <v>165.9</v>
      </c>
      <c r="O86" s="235">
        <v>0</v>
      </c>
      <c r="P86" s="239">
        <f t="shared" si="10"/>
        <v>0</v>
      </c>
      <c r="Q86" s="244" t="s">
        <v>246</v>
      </c>
      <c r="R86" s="11"/>
      <c r="S86" s="11"/>
      <c r="T86" s="11"/>
    </row>
    <row r="87" customFormat="1" customHeight="1" spans="1:20">
      <c r="A87" s="27">
        <v>26</v>
      </c>
      <c r="B87" s="27" t="s">
        <v>21</v>
      </c>
      <c r="C87" s="27" t="s">
        <v>22</v>
      </c>
      <c r="D87" s="29">
        <v>1</v>
      </c>
      <c r="E87" s="27" t="s">
        <v>53</v>
      </c>
      <c r="F87" s="28">
        <v>5.53</v>
      </c>
      <c r="G87" s="27" t="s">
        <v>247</v>
      </c>
      <c r="H87" s="42">
        <v>46087</v>
      </c>
      <c r="I87" s="42"/>
      <c r="J87" s="30">
        <f t="shared" si="7"/>
        <v>46177</v>
      </c>
      <c r="K87" s="38">
        <v>46113</v>
      </c>
      <c r="L87" s="38">
        <v>46142</v>
      </c>
      <c r="M87" s="235">
        <v>30</v>
      </c>
      <c r="N87" s="235">
        <f t="shared" si="8"/>
        <v>165.9</v>
      </c>
      <c r="O87" s="235">
        <v>0</v>
      </c>
      <c r="P87" s="239">
        <f t="shared" si="10"/>
        <v>0</v>
      </c>
      <c r="Q87" s="245" t="s">
        <v>248</v>
      </c>
      <c r="R87" s="11"/>
      <c r="S87" s="11"/>
      <c r="T87" s="11"/>
    </row>
    <row r="88" customFormat="1" customHeight="1" spans="1:20">
      <c r="A88" s="27">
        <v>26</v>
      </c>
      <c r="B88" s="27" t="s">
        <v>21</v>
      </c>
      <c r="C88" s="27" t="s">
        <v>22</v>
      </c>
      <c r="D88" s="29">
        <v>1</v>
      </c>
      <c r="E88" s="27" t="s">
        <v>53</v>
      </c>
      <c r="F88" s="28">
        <v>5.53</v>
      </c>
      <c r="G88" s="27" t="s">
        <v>249</v>
      </c>
      <c r="H88" s="42">
        <v>46087</v>
      </c>
      <c r="I88" s="42"/>
      <c r="J88" s="30">
        <f t="shared" si="7"/>
        <v>46177</v>
      </c>
      <c r="K88" s="38">
        <v>46113</v>
      </c>
      <c r="L88" s="38">
        <v>46142</v>
      </c>
      <c r="M88" s="235">
        <v>30</v>
      </c>
      <c r="N88" s="235">
        <f t="shared" si="8"/>
        <v>165.9</v>
      </c>
      <c r="O88" s="235">
        <v>0</v>
      </c>
      <c r="P88" s="239">
        <f t="shared" si="10"/>
        <v>0</v>
      </c>
      <c r="Q88" s="245" t="s">
        <v>250</v>
      </c>
      <c r="R88" s="11"/>
      <c r="S88" s="11"/>
      <c r="T88" s="11"/>
    </row>
    <row r="89" customFormat="1" customHeight="1" spans="1:20">
      <c r="A89" s="27">
        <v>26</v>
      </c>
      <c r="B89" s="27" t="s">
        <v>21</v>
      </c>
      <c r="C89" s="27" t="s">
        <v>22</v>
      </c>
      <c r="D89" s="29">
        <v>1</v>
      </c>
      <c r="E89" s="27" t="s">
        <v>53</v>
      </c>
      <c r="F89" s="28">
        <v>5.53</v>
      </c>
      <c r="G89" s="27" t="s">
        <v>251</v>
      </c>
      <c r="H89" s="42">
        <v>46087</v>
      </c>
      <c r="I89" s="42"/>
      <c r="J89" s="30">
        <f t="shared" si="7"/>
        <v>46177</v>
      </c>
      <c r="K89" s="38">
        <v>46113</v>
      </c>
      <c r="L89" s="38">
        <v>46142</v>
      </c>
      <c r="M89" s="235">
        <v>30</v>
      </c>
      <c r="N89" s="235">
        <f t="shared" si="8"/>
        <v>165.9</v>
      </c>
      <c r="O89" s="235">
        <v>0</v>
      </c>
      <c r="P89" s="239">
        <f t="shared" si="10"/>
        <v>0</v>
      </c>
      <c r="Q89" s="245" t="s">
        <v>252</v>
      </c>
      <c r="R89" s="11"/>
      <c r="S89" s="11"/>
      <c r="T89" s="11"/>
    </row>
    <row r="90" customFormat="1" customHeight="1" spans="1:20">
      <c r="A90" s="27">
        <v>26</v>
      </c>
      <c r="B90" s="27" t="s">
        <v>21</v>
      </c>
      <c r="C90" s="27" t="s">
        <v>22</v>
      </c>
      <c r="D90" s="29">
        <v>1</v>
      </c>
      <c r="E90" s="27" t="s">
        <v>53</v>
      </c>
      <c r="F90" s="28">
        <v>5.53</v>
      </c>
      <c r="G90" s="27" t="s">
        <v>253</v>
      </c>
      <c r="H90" s="42">
        <v>46087</v>
      </c>
      <c r="I90" s="42"/>
      <c r="J90" s="30">
        <f t="shared" si="7"/>
        <v>46177</v>
      </c>
      <c r="K90" s="38">
        <v>46113</v>
      </c>
      <c r="L90" s="38">
        <v>46142</v>
      </c>
      <c r="M90" s="235">
        <v>30</v>
      </c>
      <c r="N90" s="235">
        <f t="shared" si="8"/>
        <v>165.9</v>
      </c>
      <c r="O90" s="235">
        <v>0</v>
      </c>
      <c r="P90" s="239">
        <f t="shared" si="10"/>
        <v>0</v>
      </c>
      <c r="Q90" s="245" t="s">
        <v>254</v>
      </c>
      <c r="R90" s="11"/>
      <c r="S90" s="11"/>
      <c r="T90" s="11"/>
    </row>
    <row r="91" customFormat="1" customHeight="1" spans="1:20">
      <c r="A91" s="27">
        <v>26</v>
      </c>
      <c r="B91" s="27" t="s">
        <v>21</v>
      </c>
      <c r="C91" s="27" t="s">
        <v>22</v>
      </c>
      <c r="D91" s="29">
        <v>1</v>
      </c>
      <c r="E91" s="27" t="s">
        <v>53</v>
      </c>
      <c r="F91" s="28">
        <v>5.53</v>
      </c>
      <c r="G91" s="27" t="s">
        <v>255</v>
      </c>
      <c r="H91" s="42">
        <v>46087</v>
      </c>
      <c r="I91" s="42"/>
      <c r="J91" s="30">
        <f t="shared" si="7"/>
        <v>46177</v>
      </c>
      <c r="K91" s="38">
        <v>46113</v>
      </c>
      <c r="L91" s="38">
        <v>46142</v>
      </c>
      <c r="M91" s="235">
        <v>30</v>
      </c>
      <c r="N91" s="235">
        <f t="shared" si="8"/>
        <v>165.9</v>
      </c>
      <c r="O91" s="235">
        <v>0</v>
      </c>
      <c r="P91" s="239">
        <f t="shared" si="10"/>
        <v>0</v>
      </c>
      <c r="Q91" s="245" t="s">
        <v>256</v>
      </c>
      <c r="R91" s="11"/>
      <c r="S91" s="11"/>
      <c r="T91" s="11"/>
    </row>
    <row r="92" customFormat="1" customHeight="1" spans="1:20">
      <c r="A92" s="27">
        <v>26</v>
      </c>
      <c r="B92" s="27" t="s">
        <v>21</v>
      </c>
      <c r="C92" s="27" t="s">
        <v>22</v>
      </c>
      <c r="D92" s="29">
        <v>1</v>
      </c>
      <c r="E92" s="27" t="s">
        <v>53</v>
      </c>
      <c r="F92" s="28">
        <v>5.53</v>
      </c>
      <c r="G92" s="27" t="s">
        <v>257</v>
      </c>
      <c r="H92" s="42">
        <v>46087</v>
      </c>
      <c r="I92" s="42"/>
      <c r="J92" s="30">
        <f t="shared" si="7"/>
        <v>46177</v>
      </c>
      <c r="K92" s="38">
        <v>46113</v>
      </c>
      <c r="L92" s="38">
        <v>46142</v>
      </c>
      <c r="M92" s="235">
        <v>30</v>
      </c>
      <c r="N92" s="235">
        <f t="shared" si="8"/>
        <v>165.9</v>
      </c>
      <c r="O92" s="235">
        <v>0</v>
      </c>
      <c r="P92" s="239">
        <f t="shared" si="10"/>
        <v>0</v>
      </c>
      <c r="Q92" s="245" t="s">
        <v>258</v>
      </c>
      <c r="R92" s="11"/>
      <c r="S92" s="11"/>
      <c r="T92" s="11"/>
    </row>
    <row r="93" customFormat="1" customHeight="1" spans="1:20">
      <c r="A93" s="27">
        <v>26</v>
      </c>
      <c r="B93" s="27" t="s">
        <v>21</v>
      </c>
      <c r="C93" s="27" t="s">
        <v>22</v>
      </c>
      <c r="D93" s="29">
        <v>1</v>
      </c>
      <c r="E93" s="27" t="s">
        <v>53</v>
      </c>
      <c r="F93" s="28">
        <v>5.53</v>
      </c>
      <c r="G93" s="27" t="s">
        <v>259</v>
      </c>
      <c r="H93" s="42">
        <v>46087</v>
      </c>
      <c r="I93" s="42"/>
      <c r="J93" s="30">
        <f t="shared" si="7"/>
        <v>46177</v>
      </c>
      <c r="K93" s="38">
        <v>46113</v>
      </c>
      <c r="L93" s="38">
        <v>46142</v>
      </c>
      <c r="M93" s="235">
        <v>30</v>
      </c>
      <c r="N93" s="235">
        <f t="shared" si="8"/>
        <v>165.9</v>
      </c>
      <c r="O93" s="235">
        <v>0</v>
      </c>
      <c r="P93" s="239">
        <f t="shared" si="10"/>
        <v>0</v>
      </c>
      <c r="Q93" s="246" t="s">
        <v>260</v>
      </c>
      <c r="R93" s="11"/>
      <c r="S93" s="11"/>
      <c r="T93" s="11"/>
    </row>
    <row r="94" customFormat="1" customHeight="1" spans="1:20">
      <c r="A94" s="27">
        <v>26</v>
      </c>
      <c r="B94" s="27" t="s">
        <v>21</v>
      </c>
      <c r="C94" s="27" t="s">
        <v>22</v>
      </c>
      <c r="D94" s="29">
        <v>1</v>
      </c>
      <c r="E94" s="27" t="s">
        <v>53</v>
      </c>
      <c r="F94" s="28">
        <v>5.53</v>
      </c>
      <c r="G94" s="27" t="s">
        <v>261</v>
      </c>
      <c r="H94" s="42">
        <v>46087</v>
      </c>
      <c r="I94" s="42"/>
      <c r="J94" s="30">
        <f t="shared" si="7"/>
        <v>46177</v>
      </c>
      <c r="K94" s="38">
        <v>46113</v>
      </c>
      <c r="L94" s="38">
        <v>46142</v>
      </c>
      <c r="M94" s="235">
        <v>30</v>
      </c>
      <c r="N94" s="235">
        <f t="shared" si="8"/>
        <v>165.9</v>
      </c>
      <c r="O94" s="235">
        <v>0</v>
      </c>
      <c r="P94" s="239">
        <f t="shared" si="10"/>
        <v>0</v>
      </c>
      <c r="Q94" s="241"/>
      <c r="R94" s="11"/>
      <c r="S94" s="11"/>
      <c r="T94" s="11"/>
    </row>
    <row r="95" customFormat="1" customHeight="1" spans="1:20">
      <c r="A95" s="27">
        <v>26</v>
      </c>
      <c r="B95" s="27" t="s">
        <v>21</v>
      </c>
      <c r="C95" s="27" t="s">
        <v>22</v>
      </c>
      <c r="D95" s="29">
        <v>1</v>
      </c>
      <c r="E95" s="27" t="s">
        <v>53</v>
      </c>
      <c r="F95" s="28">
        <v>5.53</v>
      </c>
      <c r="G95" s="27" t="s">
        <v>262</v>
      </c>
      <c r="H95" s="42">
        <v>46087</v>
      </c>
      <c r="I95" s="42"/>
      <c r="J95" s="30">
        <f t="shared" si="7"/>
        <v>46177</v>
      </c>
      <c r="K95" s="38">
        <v>46113</v>
      </c>
      <c r="L95" s="38">
        <v>46142</v>
      </c>
      <c r="M95" s="235">
        <v>30</v>
      </c>
      <c r="N95" s="235">
        <f t="shared" si="8"/>
        <v>165.9</v>
      </c>
      <c r="O95" s="235">
        <v>0</v>
      </c>
      <c r="P95" s="239">
        <f t="shared" si="10"/>
        <v>0</v>
      </c>
      <c r="Q95" s="241"/>
      <c r="R95" s="11"/>
      <c r="S95" s="11"/>
      <c r="T95" s="11"/>
    </row>
    <row r="96" customFormat="1" customHeight="1" spans="1:20">
      <c r="A96" s="27">
        <v>26</v>
      </c>
      <c r="B96" s="27" t="s">
        <v>21</v>
      </c>
      <c r="C96" s="27" t="s">
        <v>22</v>
      </c>
      <c r="D96" s="29">
        <v>1</v>
      </c>
      <c r="E96" s="27" t="s">
        <v>53</v>
      </c>
      <c r="F96" s="28">
        <v>5.53</v>
      </c>
      <c r="G96" s="27" t="s">
        <v>263</v>
      </c>
      <c r="H96" s="42">
        <v>46087</v>
      </c>
      <c r="I96" s="42"/>
      <c r="J96" s="30">
        <f t="shared" si="7"/>
        <v>46177</v>
      </c>
      <c r="K96" s="38">
        <v>46113</v>
      </c>
      <c r="L96" s="38">
        <v>46142</v>
      </c>
      <c r="M96" s="235">
        <v>30</v>
      </c>
      <c r="N96" s="235">
        <f t="shared" si="8"/>
        <v>165.9</v>
      </c>
      <c r="O96" s="235">
        <v>0</v>
      </c>
      <c r="P96" s="239">
        <f t="shared" si="10"/>
        <v>0</v>
      </c>
      <c r="Q96" s="241"/>
      <c r="R96" s="11"/>
      <c r="S96" s="11"/>
      <c r="T96" s="11"/>
    </row>
    <row r="97" customFormat="1" customHeight="1" spans="1:20">
      <c r="A97" s="27">
        <v>26</v>
      </c>
      <c r="B97" s="27" t="s">
        <v>21</v>
      </c>
      <c r="C97" s="27" t="s">
        <v>22</v>
      </c>
      <c r="D97" s="29">
        <v>1</v>
      </c>
      <c r="E97" s="27" t="s">
        <v>53</v>
      </c>
      <c r="F97" s="28">
        <v>5.53</v>
      </c>
      <c r="G97" s="27" t="s">
        <v>264</v>
      </c>
      <c r="H97" s="42">
        <v>46087</v>
      </c>
      <c r="I97" s="42"/>
      <c r="J97" s="30">
        <f t="shared" si="7"/>
        <v>46177</v>
      </c>
      <c r="K97" s="38">
        <v>46113</v>
      </c>
      <c r="L97" s="38">
        <v>46142</v>
      </c>
      <c r="M97" s="235">
        <v>30</v>
      </c>
      <c r="N97" s="235">
        <f t="shared" si="8"/>
        <v>165.9</v>
      </c>
      <c r="O97" s="235">
        <v>0</v>
      </c>
      <c r="P97" s="239">
        <f t="shared" si="10"/>
        <v>0</v>
      </c>
      <c r="Q97" s="241"/>
      <c r="R97" s="11"/>
      <c r="S97" s="11"/>
      <c r="T97" s="11"/>
    </row>
    <row r="98" customFormat="1" customHeight="1" spans="1:20">
      <c r="A98" s="27">
        <v>26</v>
      </c>
      <c r="B98" s="27" t="s">
        <v>21</v>
      </c>
      <c r="C98" s="27" t="s">
        <v>22</v>
      </c>
      <c r="D98" s="29">
        <v>1</v>
      </c>
      <c r="E98" s="27" t="s">
        <v>53</v>
      </c>
      <c r="F98" s="28">
        <v>5.53</v>
      </c>
      <c r="G98" s="27" t="s">
        <v>265</v>
      </c>
      <c r="H98" s="42">
        <v>46087</v>
      </c>
      <c r="I98" s="42"/>
      <c r="J98" s="30">
        <f t="shared" si="7"/>
        <v>46177</v>
      </c>
      <c r="K98" s="38">
        <v>46113</v>
      </c>
      <c r="L98" s="38">
        <v>46142</v>
      </c>
      <c r="M98" s="235">
        <v>30</v>
      </c>
      <c r="N98" s="235">
        <f t="shared" si="8"/>
        <v>165.9</v>
      </c>
      <c r="O98" s="235">
        <v>0</v>
      </c>
      <c r="P98" s="239">
        <f t="shared" si="10"/>
        <v>0</v>
      </c>
      <c r="Q98" s="241"/>
      <c r="R98" s="11"/>
      <c r="S98" s="11"/>
      <c r="T98" s="11"/>
    </row>
    <row r="99" customFormat="1" customHeight="1" spans="1:20">
      <c r="A99" s="27">
        <v>26</v>
      </c>
      <c r="B99" s="27" t="s">
        <v>21</v>
      </c>
      <c r="C99" s="27" t="s">
        <v>22</v>
      </c>
      <c r="D99" s="29">
        <v>1</v>
      </c>
      <c r="E99" s="27" t="s">
        <v>53</v>
      </c>
      <c r="F99" s="28">
        <v>5.53</v>
      </c>
      <c r="G99" s="27" t="s">
        <v>266</v>
      </c>
      <c r="H99" s="42">
        <v>46087</v>
      </c>
      <c r="I99" s="42"/>
      <c r="J99" s="30">
        <f t="shared" si="7"/>
        <v>46177</v>
      </c>
      <c r="K99" s="38">
        <v>46113</v>
      </c>
      <c r="L99" s="38">
        <v>46142</v>
      </c>
      <c r="M99" s="235">
        <v>30</v>
      </c>
      <c r="N99" s="235">
        <f t="shared" si="8"/>
        <v>165.9</v>
      </c>
      <c r="O99" s="235">
        <v>0</v>
      </c>
      <c r="P99" s="239">
        <f t="shared" si="10"/>
        <v>0</v>
      </c>
      <c r="Q99" s="241"/>
      <c r="R99" s="11"/>
      <c r="S99" s="11"/>
      <c r="T99" s="11"/>
    </row>
    <row r="100" customFormat="1" customHeight="1" spans="1:20">
      <c r="A100" s="27">
        <v>26</v>
      </c>
      <c r="B100" s="27" t="s">
        <v>21</v>
      </c>
      <c r="C100" s="27" t="s">
        <v>22</v>
      </c>
      <c r="D100" s="29">
        <v>1</v>
      </c>
      <c r="E100" s="27" t="s">
        <v>53</v>
      </c>
      <c r="F100" s="28">
        <v>5.53</v>
      </c>
      <c r="G100" s="27" t="s">
        <v>267</v>
      </c>
      <c r="H100" s="42">
        <v>46087</v>
      </c>
      <c r="I100" s="42"/>
      <c r="J100" s="30">
        <f t="shared" si="7"/>
        <v>46177</v>
      </c>
      <c r="K100" s="38">
        <v>46113</v>
      </c>
      <c r="L100" s="38">
        <v>46142</v>
      </c>
      <c r="M100" s="235">
        <v>30</v>
      </c>
      <c r="N100" s="235">
        <f t="shared" si="8"/>
        <v>165.9</v>
      </c>
      <c r="O100" s="235">
        <v>0</v>
      </c>
      <c r="P100" s="239">
        <f t="shared" si="10"/>
        <v>0</v>
      </c>
      <c r="Q100" s="241"/>
      <c r="R100" s="11"/>
      <c r="S100" s="11"/>
      <c r="T100" s="11"/>
    </row>
    <row r="101" customFormat="1" customHeight="1" spans="1:20">
      <c r="A101" s="27">
        <v>26</v>
      </c>
      <c r="B101" s="27" t="s">
        <v>21</v>
      </c>
      <c r="C101" s="27" t="s">
        <v>22</v>
      </c>
      <c r="D101" s="29">
        <v>1</v>
      </c>
      <c r="E101" s="27" t="s">
        <v>53</v>
      </c>
      <c r="F101" s="28">
        <v>5.53</v>
      </c>
      <c r="G101" s="27" t="s">
        <v>268</v>
      </c>
      <c r="H101" s="42">
        <v>46087</v>
      </c>
      <c r="I101" s="42"/>
      <c r="J101" s="30">
        <f t="shared" si="7"/>
        <v>46177</v>
      </c>
      <c r="K101" s="38">
        <v>46113</v>
      </c>
      <c r="L101" s="38">
        <v>46142</v>
      </c>
      <c r="M101" s="235">
        <v>30</v>
      </c>
      <c r="N101" s="235">
        <f t="shared" si="8"/>
        <v>165.9</v>
      </c>
      <c r="O101" s="235">
        <v>0</v>
      </c>
      <c r="P101" s="239">
        <f t="shared" si="10"/>
        <v>0</v>
      </c>
      <c r="Q101" s="241"/>
      <c r="R101" s="11"/>
      <c r="S101" s="11"/>
      <c r="T101" s="11"/>
    </row>
    <row r="102" customFormat="1" customHeight="1" spans="1:20">
      <c r="A102" s="27">
        <v>26</v>
      </c>
      <c r="B102" s="27" t="s">
        <v>21</v>
      </c>
      <c r="C102" s="27" t="s">
        <v>22</v>
      </c>
      <c r="D102" s="29">
        <v>1</v>
      </c>
      <c r="E102" s="27" t="s">
        <v>53</v>
      </c>
      <c r="F102" s="28">
        <v>5.53</v>
      </c>
      <c r="G102" s="27" t="s">
        <v>269</v>
      </c>
      <c r="H102" s="42">
        <v>46087</v>
      </c>
      <c r="I102" s="42"/>
      <c r="J102" s="30">
        <f t="shared" si="7"/>
        <v>46177</v>
      </c>
      <c r="K102" s="38">
        <v>46113</v>
      </c>
      <c r="L102" s="38">
        <v>46142</v>
      </c>
      <c r="M102" s="235">
        <v>30</v>
      </c>
      <c r="N102" s="235">
        <f t="shared" si="8"/>
        <v>165.9</v>
      </c>
      <c r="O102" s="235">
        <v>0</v>
      </c>
      <c r="P102" s="239">
        <f t="shared" si="10"/>
        <v>0</v>
      </c>
      <c r="Q102" s="241"/>
      <c r="R102" s="11"/>
      <c r="S102" s="11"/>
      <c r="T102" s="11"/>
    </row>
    <row r="103" customFormat="1" customHeight="1" spans="1:20">
      <c r="A103" s="27">
        <v>26</v>
      </c>
      <c r="B103" s="27" t="s">
        <v>21</v>
      </c>
      <c r="C103" s="27" t="s">
        <v>22</v>
      </c>
      <c r="D103" s="29">
        <v>1</v>
      </c>
      <c r="E103" s="27" t="s">
        <v>53</v>
      </c>
      <c r="F103" s="28">
        <v>5.53</v>
      </c>
      <c r="G103" s="27" t="s">
        <v>270</v>
      </c>
      <c r="H103" s="42">
        <v>46087</v>
      </c>
      <c r="I103" s="42"/>
      <c r="J103" s="30">
        <f t="shared" ref="J103:J154" si="11">H103+90</f>
        <v>46177</v>
      </c>
      <c r="K103" s="38">
        <v>46113</v>
      </c>
      <c r="L103" s="38">
        <v>46142</v>
      </c>
      <c r="M103" s="235">
        <v>30</v>
      </c>
      <c r="N103" s="235">
        <f t="shared" ref="N103:N154" si="12">M103*F103*D103</f>
        <v>165.9</v>
      </c>
      <c r="O103" s="235">
        <v>0</v>
      </c>
      <c r="P103" s="239">
        <f t="shared" si="10"/>
        <v>0</v>
      </c>
      <c r="Q103" s="241"/>
      <c r="R103" s="11"/>
      <c r="S103" s="11"/>
      <c r="T103" s="11"/>
    </row>
    <row r="104" customFormat="1" customHeight="1" spans="1:20">
      <c r="A104" s="27">
        <v>26</v>
      </c>
      <c r="B104" s="27" t="s">
        <v>21</v>
      </c>
      <c r="C104" s="27" t="s">
        <v>22</v>
      </c>
      <c r="D104" s="29">
        <v>1</v>
      </c>
      <c r="E104" s="27" t="s">
        <v>53</v>
      </c>
      <c r="F104" s="28">
        <v>5.53</v>
      </c>
      <c r="G104" s="27" t="s">
        <v>271</v>
      </c>
      <c r="H104" s="42">
        <v>46087</v>
      </c>
      <c r="I104" s="42"/>
      <c r="J104" s="30">
        <f t="shared" si="11"/>
        <v>46177</v>
      </c>
      <c r="K104" s="38">
        <v>46113</v>
      </c>
      <c r="L104" s="38">
        <v>46142</v>
      </c>
      <c r="M104" s="235">
        <v>30</v>
      </c>
      <c r="N104" s="235">
        <f t="shared" si="12"/>
        <v>165.9</v>
      </c>
      <c r="O104" s="235">
        <v>0</v>
      </c>
      <c r="P104" s="239">
        <f t="shared" ref="P104:P154" si="13">O104*F104*D104</f>
        <v>0</v>
      </c>
      <c r="Q104" s="241"/>
      <c r="R104" s="11"/>
      <c r="S104" s="11"/>
      <c r="T104" s="11"/>
    </row>
    <row r="105" customFormat="1" customHeight="1" spans="1:20">
      <c r="A105" s="27">
        <v>26</v>
      </c>
      <c r="B105" s="27" t="s">
        <v>21</v>
      </c>
      <c r="C105" s="27" t="s">
        <v>22</v>
      </c>
      <c r="D105" s="29">
        <v>1</v>
      </c>
      <c r="E105" s="27" t="s">
        <v>53</v>
      </c>
      <c r="F105" s="28">
        <v>5.53</v>
      </c>
      <c r="G105" s="27" t="s">
        <v>272</v>
      </c>
      <c r="H105" s="42">
        <v>46087</v>
      </c>
      <c r="I105" s="42"/>
      <c r="J105" s="30">
        <f t="shared" si="11"/>
        <v>46177</v>
      </c>
      <c r="K105" s="38">
        <v>46113</v>
      </c>
      <c r="L105" s="38">
        <v>46142</v>
      </c>
      <c r="M105" s="235">
        <v>30</v>
      </c>
      <c r="N105" s="235">
        <f t="shared" si="12"/>
        <v>165.9</v>
      </c>
      <c r="O105" s="235">
        <v>0</v>
      </c>
      <c r="P105" s="239">
        <f t="shared" si="13"/>
        <v>0</v>
      </c>
      <c r="Q105" s="241"/>
      <c r="R105" s="11"/>
      <c r="S105" s="11"/>
      <c r="T105" s="11"/>
    </row>
    <row r="106" customFormat="1" customHeight="1" spans="1:20">
      <c r="A106" s="27">
        <v>26</v>
      </c>
      <c r="B106" s="27" t="s">
        <v>21</v>
      </c>
      <c r="C106" s="27" t="s">
        <v>22</v>
      </c>
      <c r="D106" s="29">
        <v>1</v>
      </c>
      <c r="E106" s="27" t="s">
        <v>53</v>
      </c>
      <c r="F106" s="28">
        <v>5.53</v>
      </c>
      <c r="G106" s="27" t="s">
        <v>273</v>
      </c>
      <c r="H106" s="42">
        <v>46087</v>
      </c>
      <c r="I106" s="42"/>
      <c r="J106" s="30">
        <f t="shared" si="11"/>
        <v>46177</v>
      </c>
      <c r="K106" s="38">
        <v>46113</v>
      </c>
      <c r="L106" s="38">
        <v>46142</v>
      </c>
      <c r="M106" s="235">
        <v>30</v>
      </c>
      <c r="N106" s="235">
        <f t="shared" si="12"/>
        <v>165.9</v>
      </c>
      <c r="O106" s="235">
        <v>0</v>
      </c>
      <c r="P106" s="239">
        <f t="shared" si="13"/>
        <v>0</v>
      </c>
      <c r="Q106" s="241"/>
      <c r="R106" s="11"/>
      <c r="S106" s="11"/>
      <c r="T106" s="11"/>
    </row>
    <row r="107" customFormat="1" customHeight="1" spans="1:20">
      <c r="A107" s="27">
        <v>26</v>
      </c>
      <c r="B107" s="27" t="s">
        <v>21</v>
      </c>
      <c r="C107" s="27" t="s">
        <v>22</v>
      </c>
      <c r="D107" s="29">
        <v>1</v>
      </c>
      <c r="E107" s="27" t="s">
        <v>53</v>
      </c>
      <c r="F107" s="28">
        <v>5.53</v>
      </c>
      <c r="G107" s="27" t="s">
        <v>274</v>
      </c>
      <c r="H107" s="42">
        <v>46087</v>
      </c>
      <c r="I107" s="42"/>
      <c r="J107" s="30">
        <f t="shared" si="11"/>
        <v>46177</v>
      </c>
      <c r="K107" s="38">
        <v>46113</v>
      </c>
      <c r="L107" s="38">
        <v>46142</v>
      </c>
      <c r="M107" s="235">
        <v>30</v>
      </c>
      <c r="N107" s="235">
        <f t="shared" si="12"/>
        <v>165.9</v>
      </c>
      <c r="O107" s="235">
        <v>0</v>
      </c>
      <c r="P107" s="239">
        <f t="shared" si="13"/>
        <v>0</v>
      </c>
      <c r="Q107" s="241"/>
      <c r="R107" s="11"/>
      <c r="S107" s="11"/>
      <c r="T107" s="11"/>
    </row>
    <row r="108" customFormat="1" customHeight="1" spans="1:20">
      <c r="A108" s="27">
        <v>26</v>
      </c>
      <c r="B108" s="27" t="s">
        <v>21</v>
      </c>
      <c r="C108" s="27" t="s">
        <v>22</v>
      </c>
      <c r="D108" s="29">
        <v>1</v>
      </c>
      <c r="E108" s="27" t="s">
        <v>53</v>
      </c>
      <c r="F108" s="28">
        <v>5.53</v>
      </c>
      <c r="G108" s="27" t="s">
        <v>275</v>
      </c>
      <c r="H108" s="42">
        <v>46087</v>
      </c>
      <c r="I108" s="42"/>
      <c r="J108" s="30">
        <f t="shared" si="11"/>
        <v>46177</v>
      </c>
      <c r="K108" s="38">
        <v>46113</v>
      </c>
      <c r="L108" s="38">
        <v>46142</v>
      </c>
      <c r="M108" s="235">
        <v>30</v>
      </c>
      <c r="N108" s="235">
        <f t="shared" si="12"/>
        <v>165.9</v>
      </c>
      <c r="O108" s="235">
        <v>0</v>
      </c>
      <c r="P108" s="239">
        <f t="shared" si="13"/>
        <v>0</v>
      </c>
      <c r="Q108" s="241"/>
      <c r="R108" s="11"/>
      <c r="S108" s="11"/>
      <c r="T108" s="11"/>
    </row>
    <row r="109" customFormat="1" customHeight="1" spans="1:20">
      <c r="A109" s="27">
        <v>26</v>
      </c>
      <c r="B109" s="27" t="s">
        <v>21</v>
      </c>
      <c r="C109" s="27" t="s">
        <v>22</v>
      </c>
      <c r="D109" s="29">
        <v>1</v>
      </c>
      <c r="E109" s="27" t="s">
        <v>53</v>
      </c>
      <c r="F109" s="28">
        <v>5.53</v>
      </c>
      <c r="G109" s="27" t="s">
        <v>276</v>
      </c>
      <c r="H109" s="42">
        <v>46087</v>
      </c>
      <c r="I109" s="42"/>
      <c r="J109" s="30">
        <f t="shared" si="11"/>
        <v>46177</v>
      </c>
      <c r="K109" s="38">
        <v>46113</v>
      </c>
      <c r="L109" s="38">
        <v>46142</v>
      </c>
      <c r="M109" s="235">
        <v>30</v>
      </c>
      <c r="N109" s="235">
        <f t="shared" si="12"/>
        <v>165.9</v>
      </c>
      <c r="O109" s="235">
        <v>0</v>
      </c>
      <c r="P109" s="239">
        <f t="shared" si="13"/>
        <v>0</v>
      </c>
      <c r="Q109" s="241"/>
      <c r="R109" s="11"/>
      <c r="S109" s="11"/>
      <c r="T109" s="11"/>
    </row>
    <row r="110" customFormat="1" customHeight="1" spans="1:20">
      <c r="A110" s="27">
        <v>26</v>
      </c>
      <c r="B110" s="27" t="s">
        <v>21</v>
      </c>
      <c r="C110" s="27" t="s">
        <v>22</v>
      </c>
      <c r="D110" s="29">
        <v>1</v>
      </c>
      <c r="E110" s="27" t="s">
        <v>53</v>
      </c>
      <c r="F110" s="28">
        <v>5.53</v>
      </c>
      <c r="G110" s="27" t="s">
        <v>277</v>
      </c>
      <c r="H110" s="42">
        <v>46087</v>
      </c>
      <c r="I110" s="42"/>
      <c r="J110" s="30">
        <f t="shared" si="11"/>
        <v>46177</v>
      </c>
      <c r="K110" s="38">
        <v>46113</v>
      </c>
      <c r="L110" s="38">
        <v>46142</v>
      </c>
      <c r="M110" s="235">
        <v>30</v>
      </c>
      <c r="N110" s="235">
        <f t="shared" si="12"/>
        <v>165.9</v>
      </c>
      <c r="O110" s="235">
        <v>0</v>
      </c>
      <c r="P110" s="239">
        <f t="shared" si="13"/>
        <v>0</v>
      </c>
      <c r="Q110" s="241"/>
      <c r="R110" s="11"/>
      <c r="S110" s="11"/>
      <c r="T110" s="11"/>
    </row>
    <row r="111" customFormat="1" customHeight="1" spans="1:20">
      <c r="A111" s="27">
        <v>26</v>
      </c>
      <c r="B111" s="27" t="s">
        <v>21</v>
      </c>
      <c r="C111" s="27" t="s">
        <v>22</v>
      </c>
      <c r="D111" s="29">
        <v>1</v>
      </c>
      <c r="E111" s="27" t="s">
        <v>53</v>
      </c>
      <c r="F111" s="28">
        <v>5.53</v>
      </c>
      <c r="G111" s="27" t="s">
        <v>278</v>
      </c>
      <c r="H111" s="42">
        <v>46087</v>
      </c>
      <c r="I111" s="42"/>
      <c r="J111" s="30">
        <f t="shared" si="11"/>
        <v>46177</v>
      </c>
      <c r="K111" s="38">
        <v>46113</v>
      </c>
      <c r="L111" s="38">
        <v>46142</v>
      </c>
      <c r="M111" s="235">
        <v>30</v>
      </c>
      <c r="N111" s="235">
        <f t="shared" si="12"/>
        <v>165.9</v>
      </c>
      <c r="O111" s="235">
        <v>0</v>
      </c>
      <c r="P111" s="239">
        <f t="shared" si="13"/>
        <v>0</v>
      </c>
      <c r="Q111" s="241"/>
      <c r="R111" s="11"/>
      <c r="S111" s="11"/>
      <c r="T111" s="11"/>
    </row>
    <row r="112" customFormat="1" customHeight="1" spans="1:20">
      <c r="A112" s="27">
        <v>26</v>
      </c>
      <c r="B112" s="27" t="s">
        <v>21</v>
      </c>
      <c r="C112" s="27" t="s">
        <v>22</v>
      </c>
      <c r="D112" s="29">
        <v>1</v>
      </c>
      <c r="E112" s="27" t="s">
        <v>53</v>
      </c>
      <c r="F112" s="28">
        <v>5.53</v>
      </c>
      <c r="G112" s="27" t="s">
        <v>279</v>
      </c>
      <c r="H112" s="42">
        <v>46087</v>
      </c>
      <c r="I112" s="42"/>
      <c r="J112" s="30">
        <f t="shared" si="11"/>
        <v>46177</v>
      </c>
      <c r="K112" s="38">
        <v>46113</v>
      </c>
      <c r="L112" s="38">
        <v>46142</v>
      </c>
      <c r="M112" s="235">
        <v>30</v>
      </c>
      <c r="N112" s="235">
        <f t="shared" si="12"/>
        <v>165.9</v>
      </c>
      <c r="O112" s="235">
        <v>0</v>
      </c>
      <c r="P112" s="239">
        <f t="shared" si="13"/>
        <v>0</v>
      </c>
      <c r="Q112" s="241"/>
      <c r="R112" s="11"/>
      <c r="S112" s="11"/>
      <c r="T112" s="11"/>
    </row>
    <row r="113" customFormat="1" customHeight="1" spans="1:20">
      <c r="A113" s="27">
        <v>26</v>
      </c>
      <c r="B113" s="27" t="s">
        <v>21</v>
      </c>
      <c r="C113" s="27" t="s">
        <v>22</v>
      </c>
      <c r="D113" s="29">
        <v>1</v>
      </c>
      <c r="E113" s="27" t="s">
        <v>53</v>
      </c>
      <c r="F113" s="28">
        <v>5.53</v>
      </c>
      <c r="G113" s="27" t="s">
        <v>280</v>
      </c>
      <c r="H113" s="42">
        <v>46087</v>
      </c>
      <c r="I113" s="42"/>
      <c r="J113" s="30">
        <f t="shared" si="11"/>
        <v>46177</v>
      </c>
      <c r="K113" s="38">
        <v>46113</v>
      </c>
      <c r="L113" s="38">
        <v>46142</v>
      </c>
      <c r="M113" s="235">
        <v>30</v>
      </c>
      <c r="N113" s="235">
        <f t="shared" si="12"/>
        <v>165.9</v>
      </c>
      <c r="O113" s="235">
        <v>0</v>
      </c>
      <c r="P113" s="239">
        <f t="shared" si="13"/>
        <v>0</v>
      </c>
      <c r="Q113" s="241"/>
      <c r="R113" s="11"/>
      <c r="S113" s="11"/>
      <c r="T113" s="11"/>
    </row>
    <row r="114" customFormat="1" customHeight="1" spans="1:20">
      <c r="A114" s="27">
        <v>26</v>
      </c>
      <c r="B114" s="27" t="s">
        <v>21</v>
      </c>
      <c r="C114" s="27" t="s">
        <v>22</v>
      </c>
      <c r="D114" s="29">
        <v>1</v>
      </c>
      <c r="E114" s="27" t="s">
        <v>53</v>
      </c>
      <c r="F114" s="28">
        <v>5.53</v>
      </c>
      <c r="G114" s="27" t="s">
        <v>281</v>
      </c>
      <c r="H114" s="42">
        <v>46087</v>
      </c>
      <c r="I114" s="42"/>
      <c r="J114" s="30">
        <f t="shared" si="11"/>
        <v>46177</v>
      </c>
      <c r="K114" s="38">
        <v>46113</v>
      </c>
      <c r="L114" s="38">
        <v>46142</v>
      </c>
      <c r="M114" s="235">
        <v>30</v>
      </c>
      <c r="N114" s="235">
        <f t="shared" si="12"/>
        <v>165.9</v>
      </c>
      <c r="O114" s="235">
        <v>0</v>
      </c>
      <c r="P114" s="239">
        <f t="shared" si="13"/>
        <v>0</v>
      </c>
      <c r="Q114" s="241"/>
      <c r="R114" s="11"/>
      <c r="S114" s="11"/>
      <c r="T114" s="11"/>
    </row>
    <row r="115" customFormat="1" customHeight="1" spans="1:20">
      <c r="A115" s="27">
        <v>26</v>
      </c>
      <c r="B115" s="27" t="s">
        <v>21</v>
      </c>
      <c r="C115" s="27" t="s">
        <v>22</v>
      </c>
      <c r="D115" s="29">
        <v>1</v>
      </c>
      <c r="E115" s="27" t="s">
        <v>53</v>
      </c>
      <c r="F115" s="28">
        <v>5.53</v>
      </c>
      <c r="G115" s="27" t="s">
        <v>282</v>
      </c>
      <c r="H115" s="42">
        <v>46087</v>
      </c>
      <c r="I115" s="42"/>
      <c r="J115" s="30">
        <f t="shared" si="11"/>
        <v>46177</v>
      </c>
      <c r="K115" s="38">
        <v>46113</v>
      </c>
      <c r="L115" s="38">
        <v>46142</v>
      </c>
      <c r="M115" s="235">
        <v>30</v>
      </c>
      <c r="N115" s="235">
        <f t="shared" si="12"/>
        <v>165.9</v>
      </c>
      <c r="O115" s="235">
        <v>0</v>
      </c>
      <c r="P115" s="239">
        <f t="shared" si="13"/>
        <v>0</v>
      </c>
      <c r="Q115" s="241"/>
      <c r="R115" s="11"/>
      <c r="S115" s="11"/>
      <c r="T115" s="11"/>
    </row>
    <row r="116" customFormat="1" customHeight="1" spans="1:20">
      <c r="A116" s="27">
        <v>26</v>
      </c>
      <c r="B116" s="27" t="s">
        <v>21</v>
      </c>
      <c r="C116" s="27" t="s">
        <v>22</v>
      </c>
      <c r="D116" s="29">
        <v>1</v>
      </c>
      <c r="E116" s="27" t="s">
        <v>53</v>
      </c>
      <c r="F116" s="28">
        <v>5.53</v>
      </c>
      <c r="G116" s="27" t="s">
        <v>283</v>
      </c>
      <c r="H116" s="42">
        <v>46087</v>
      </c>
      <c r="I116" s="42"/>
      <c r="J116" s="30">
        <f t="shared" si="11"/>
        <v>46177</v>
      </c>
      <c r="K116" s="38">
        <v>46113</v>
      </c>
      <c r="L116" s="38">
        <v>46142</v>
      </c>
      <c r="M116" s="235">
        <v>30</v>
      </c>
      <c r="N116" s="235">
        <f t="shared" si="12"/>
        <v>165.9</v>
      </c>
      <c r="O116" s="235">
        <v>0</v>
      </c>
      <c r="P116" s="239">
        <f t="shared" si="13"/>
        <v>0</v>
      </c>
      <c r="Q116" s="241"/>
      <c r="R116" s="11"/>
      <c r="S116" s="11"/>
      <c r="T116" s="11"/>
    </row>
    <row r="117" customFormat="1" customHeight="1" spans="1:20">
      <c r="A117" s="27">
        <v>26</v>
      </c>
      <c r="B117" s="27" t="s">
        <v>21</v>
      </c>
      <c r="C117" s="27" t="s">
        <v>22</v>
      </c>
      <c r="D117" s="29">
        <v>1</v>
      </c>
      <c r="E117" s="27" t="s">
        <v>53</v>
      </c>
      <c r="F117" s="28">
        <v>5.53</v>
      </c>
      <c r="G117" s="27" t="s">
        <v>284</v>
      </c>
      <c r="H117" s="42">
        <v>46087</v>
      </c>
      <c r="I117" s="42"/>
      <c r="J117" s="30">
        <f t="shared" si="11"/>
        <v>46177</v>
      </c>
      <c r="K117" s="38">
        <v>46113</v>
      </c>
      <c r="L117" s="38">
        <v>46142</v>
      </c>
      <c r="M117" s="235">
        <v>30</v>
      </c>
      <c r="N117" s="235">
        <f t="shared" si="12"/>
        <v>165.9</v>
      </c>
      <c r="O117" s="235">
        <v>0</v>
      </c>
      <c r="P117" s="239">
        <f t="shared" si="13"/>
        <v>0</v>
      </c>
      <c r="Q117" s="241"/>
      <c r="R117" s="11"/>
      <c r="S117" s="11"/>
      <c r="T117" s="11"/>
    </row>
    <row r="118" customFormat="1" customHeight="1" spans="1:20">
      <c r="A118" s="27">
        <v>26</v>
      </c>
      <c r="B118" s="27" t="s">
        <v>21</v>
      </c>
      <c r="C118" s="27" t="s">
        <v>22</v>
      </c>
      <c r="D118" s="29">
        <v>1</v>
      </c>
      <c r="E118" s="27" t="s">
        <v>53</v>
      </c>
      <c r="F118" s="28">
        <v>5.53</v>
      </c>
      <c r="G118" s="27" t="s">
        <v>285</v>
      </c>
      <c r="H118" s="42">
        <v>46087</v>
      </c>
      <c r="I118" s="42"/>
      <c r="J118" s="30">
        <f t="shared" si="11"/>
        <v>46177</v>
      </c>
      <c r="K118" s="38">
        <v>46113</v>
      </c>
      <c r="L118" s="38">
        <v>46142</v>
      </c>
      <c r="M118" s="235">
        <v>30</v>
      </c>
      <c r="N118" s="235">
        <f t="shared" si="12"/>
        <v>165.9</v>
      </c>
      <c r="O118" s="235">
        <v>0</v>
      </c>
      <c r="P118" s="239">
        <f t="shared" si="13"/>
        <v>0</v>
      </c>
      <c r="Q118" s="241"/>
      <c r="R118" s="11"/>
      <c r="S118" s="11"/>
      <c r="T118" s="11"/>
    </row>
    <row r="119" customFormat="1" customHeight="1" spans="1:20">
      <c r="A119" s="27">
        <v>26</v>
      </c>
      <c r="B119" s="27" t="s">
        <v>21</v>
      </c>
      <c r="C119" s="27" t="s">
        <v>22</v>
      </c>
      <c r="D119" s="29">
        <v>1</v>
      </c>
      <c r="E119" s="27" t="s">
        <v>53</v>
      </c>
      <c r="F119" s="28">
        <v>5.53</v>
      </c>
      <c r="G119" s="27" t="s">
        <v>286</v>
      </c>
      <c r="H119" s="42">
        <v>46087</v>
      </c>
      <c r="I119" s="42"/>
      <c r="J119" s="30">
        <f t="shared" si="11"/>
        <v>46177</v>
      </c>
      <c r="K119" s="38">
        <v>46113</v>
      </c>
      <c r="L119" s="38">
        <v>46142</v>
      </c>
      <c r="M119" s="235">
        <v>30</v>
      </c>
      <c r="N119" s="235">
        <f t="shared" si="12"/>
        <v>165.9</v>
      </c>
      <c r="O119" s="235">
        <v>0</v>
      </c>
      <c r="P119" s="239">
        <f t="shared" si="13"/>
        <v>0</v>
      </c>
      <c r="Q119" s="241"/>
      <c r="R119" s="11"/>
      <c r="S119" s="11"/>
      <c r="T119" s="11"/>
    </row>
    <row r="120" customFormat="1" customHeight="1" spans="1:20">
      <c r="A120" s="27">
        <v>26</v>
      </c>
      <c r="B120" s="27" t="s">
        <v>21</v>
      </c>
      <c r="C120" s="27" t="s">
        <v>22</v>
      </c>
      <c r="D120" s="29">
        <v>1</v>
      </c>
      <c r="E120" s="27" t="s">
        <v>53</v>
      </c>
      <c r="F120" s="28">
        <v>5.53</v>
      </c>
      <c r="G120" s="27" t="s">
        <v>287</v>
      </c>
      <c r="H120" s="42">
        <v>46087</v>
      </c>
      <c r="I120" s="42"/>
      <c r="J120" s="30">
        <f t="shared" si="11"/>
        <v>46177</v>
      </c>
      <c r="K120" s="38">
        <v>46113</v>
      </c>
      <c r="L120" s="38">
        <v>46142</v>
      </c>
      <c r="M120" s="235">
        <v>30</v>
      </c>
      <c r="N120" s="235">
        <f t="shared" si="12"/>
        <v>165.9</v>
      </c>
      <c r="O120" s="235">
        <v>0</v>
      </c>
      <c r="P120" s="239">
        <f t="shared" si="13"/>
        <v>0</v>
      </c>
      <c r="Q120" s="241"/>
      <c r="R120" s="11"/>
      <c r="S120" s="11"/>
      <c r="T120" s="11"/>
    </row>
    <row r="121" customFormat="1" customHeight="1" spans="1:20">
      <c r="A121" s="27">
        <v>26</v>
      </c>
      <c r="B121" s="27" t="s">
        <v>21</v>
      </c>
      <c r="C121" s="27" t="s">
        <v>22</v>
      </c>
      <c r="D121" s="29">
        <v>1</v>
      </c>
      <c r="E121" s="27" t="s">
        <v>53</v>
      </c>
      <c r="F121" s="28">
        <v>5.53</v>
      </c>
      <c r="G121" s="27" t="s">
        <v>288</v>
      </c>
      <c r="H121" s="42">
        <v>46087</v>
      </c>
      <c r="I121" s="42"/>
      <c r="J121" s="30">
        <f t="shared" si="11"/>
        <v>46177</v>
      </c>
      <c r="K121" s="38">
        <v>46113</v>
      </c>
      <c r="L121" s="38">
        <v>46142</v>
      </c>
      <c r="M121" s="235">
        <v>30</v>
      </c>
      <c r="N121" s="235">
        <f t="shared" si="12"/>
        <v>165.9</v>
      </c>
      <c r="O121" s="235">
        <v>0</v>
      </c>
      <c r="P121" s="239">
        <f t="shared" si="13"/>
        <v>0</v>
      </c>
      <c r="Q121" s="241"/>
      <c r="R121" s="11"/>
      <c r="S121" s="11"/>
      <c r="T121" s="11"/>
    </row>
    <row r="122" customFormat="1" customHeight="1" spans="1:20">
      <c r="A122" s="27">
        <v>26</v>
      </c>
      <c r="B122" s="27" t="s">
        <v>21</v>
      </c>
      <c r="C122" s="27" t="s">
        <v>22</v>
      </c>
      <c r="D122" s="29">
        <v>1</v>
      </c>
      <c r="E122" s="27" t="s">
        <v>53</v>
      </c>
      <c r="F122" s="28">
        <v>5.53</v>
      </c>
      <c r="G122" s="27" t="s">
        <v>289</v>
      </c>
      <c r="H122" s="42">
        <v>46087</v>
      </c>
      <c r="I122" s="42"/>
      <c r="J122" s="30">
        <f t="shared" si="11"/>
        <v>46177</v>
      </c>
      <c r="K122" s="38">
        <v>46113</v>
      </c>
      <c r="L122" s="38">
        <v>46142</v>
      </c>
      <c r="M122" s="235">
        <v>30</v>
      </c>
      <c r="N122" s="235">
        <f t="shared" si="12"/>
        <v>165.9</v>
      </c>
      <c r="O122" s="235">
        <v>0</v>
      </c>
      <c r="P122" s="239">
        <f t="shared" si="13"/>
        <v>0</v>
      </c>
      <c r="Q122" s="241"/>
      <c r="R122" s="11"/>
      <c r="S122" s="11"/>
      <c r="T122" s="11"/>
    </row>
    <row r="123" customFormat="1" customHeight="1" spans="1:20">
      <c r="A123" s="27">
        <v>26</v>
      </c>
      <c r="B123" s="27" t="s">
        <v>21</v>
      </c>
      <c r="C123" s="27" t="s">
        <v>22</v>
      </c>
      <c r="D123" s="29">
        <v>1</v>
      </c>
      <c r="E123" s="27" t="s">
        <v>53</v>
      </c>
      <c r="F123" s="28">
        <v>5.53</v>
      </c>
      <c r="G123" s="27" t="s">
        <v>290</v>
      </c>
      <c r="H123" s="42">
        <v>46087</v>
      </c>
      <c r="I123" s="42"/>
      <c r="J123" s="30">
        <f t="shared" si="11"/>
        <v>46177</v>
      </c>
      <c r="K123" s="38">
        <v>46113</v>
      </c>
      <c r="L123" s="38">
        <v>46142</v>
      </c>
      <c r="M123" s="235">
        <v>30</v>
      </c>
      <c r="N123" s="235">
        <f t="shared" si="12"/>
        <v>165.9</v>
      </c>
      <c r="O123" s="235">
        <v>0</v>
      </c>
      <c r="P123" s="239">
        <f t="shared" si="13"/>
        <v>0</v>
      </c>
      <c r="Q123" s="241"/>
      <c r="R123" s="11"/>
      <c r="S123" s="11"/>
      <c r="T123" s="11"/>
    </row>
    <row r="124" customFormat="1" customHeight="1" spans="1:20">
      <c r="A124" s="27">
        <v>26</v>
      </c>
      <c r="B124" s="27" t="s">
        <v>21</v>
      </c>
      <c r="C124" s="27" t="s">
        <v>22</v>
      </c>
      <c r="D124" s="29">
        <v>1</v>
      </c>
      <c r="E124" s="27" t="s">
        <v>53</v>
      </c>
      <c r="F124" s="28">
        <v>5.53</v>
      </c>
      <c r="G124" s="27" t="s">
        <v>291</v>
      </c>
      <c r="H124" s="42">
        <v>46087</v>
      </c>
      <c r="I124" s="42"/>
      <c r="J124" s="30">
        <f t="shared" si="11"/>
        <v>46177</v>
      </c>
      <c r="K124" s="38">
        <v>46113</v>
      </c>
      <c r="L124" s="38">
        <v>46142</v>
      </c>
      <c r="M124" s="235">
        <v>30</v>
      </c>
      <c r="N124" s="235">
        <f t="shared" si="12"/>
        <v>165.9</v>
      </c>
      <c r="O124" s="235">
        <v>0</v>
      </c>
      <c r="P124" s="239">
        <f t="shared" si="13"/>
        <v>0</v>
      </c>
      <c r="Q124" s="241"/>
      <c r="R124" s="11"/>
      <c r="S124" s="11"/>
      <c r="T124" s="11"/>
    </row>
    <row r="125" customFormat="1" customHeight="1" spans="1:20">
      <c r="A125" s="27">
        <v>26</v>
      </c>
      <c r="B125" s="27" t="s">
        <v>21</v>
      </c>
      <c r="C125" s="27" t="s">
        <v>22</v>
      </c>
      <c r="D125" s="29">
        <v>1</v>
      </c>
      <c r="E125" s="27" t="s">
        <v>53</v>
      </c>
      <c r="F125" s="28">
        <v>5.53</v>
      </c>
      <c r="G125" s="27" t="s">
        <v>292</v>
      </c>
      <c r="H125" s="42">
        <v>46087</v>
      </c>
      <c r="I125" s="42"/>
      <c r="J125" s="30">
        <f t="shared" si="11"/>
        <v>46177</v>
      </c>
      <c r="K125" s="38">
        <v>46113</v>
      </c>
      <c r="L125" s="38">
        <v>46142</v>
      </c>
      <c r="M125" s="235">
        <v>30</v>
      </c>
      <c r="N125" s="235">
        <f t="shared" si="12"/>
        <v>165.9</v>
      </c>
      <c r="O125" s="235">
        <v>0</v>
      </c>
      <c r="P125" s="239">
        <f t="shared" si="13"/>
        <v>0</v>
      </c>
      <c r="Q125" s="241"/>
      <c r="R125" s="11"/>
      <c r="S125" s="11"/>
      <c r="T125" s="11"/>
    </row>
    <row r="126" customFormat="1" customHeight="1" spans="1:20">
      <c r="A126" s="27">
        <v>26</v>
      </c>
      <c r="B126" s="27" t="s">
        <v>21</v>
      </c>
      <c r="C126" s="27" t="s">
        <v>22</v>
      </c>
      <c r="D126" s="29">
        <v>1</v>
      </c>
      <c r="E126" s="27" t="s">
        <v>53</v>
      </c>
      <c r="F126" s="28">
        <v>5.53</v>
      </c>
      <c r="G126" s="27" t="s">
        <v>293</v>
      </c>
      <c r="H126" s="42">
        <v>46087</v>
      </c>
      <c r="I126" s="42"/>
      <c r="J126" s="30">
        <f t="shared" si="11"/>
        <v>46177</v>
      </c>
      <c r="K126" s="38">
        <v>46113</v>
      </c>
      <c r="L126" s="38">
        <v>46142</v>
      </c>
      <c r="M126" s="235">
        <v>30</v>
      </c>
      <c r="N126" s="235">
        <f t="shared" si="12"/>
        <v>165.9</v>
      </c>
      <c r="O126" s="235">
        <v>0</v>
      </c>
      <c r="P126" s="239">
        <f t="shared" si="13"/>
        <v>0</v>
      </c>
      <c r="Q126" s="241"/>
      <c r="R126" s="11"/>
      <c r="S126" s="11"/>
      <c r="T126" s="11"/>
    </row>
    <row r="127" customFormat="1" customHeight="1" spans="1:20">
      <c r="A127" s="27">
        <v>26</v>
      </c>
      <c r="B127" s="27" t="s">
        <v>21</v>
      </c>
      <c r="C127" s="27" t="s">
        <v>22</v>
      </c>
      <c r="D127" s="29">
        <v>1</v>
      </c>
      <c r="E127" s="27" t="s">
        <v>53</v>
      </c>
      <c r="F127" s="28">
        <v>5.53</v>
      </c>
      <c r="G127" s="27" t="s">
        <v>294</v>
      </c>
      <c r="H127" s="42">
        <v>46087</v>
      </c>
      <c r="I127" s="42"/>
      <c r="J127" s="30">
        <f t="shared" si="11"/>
        <v>46177</v>
      </c>
      <c r="K127" s="38">
        <v>46113</v>
      </c>
      <c r="L127" s="38">
        <v>46142</v>
      </c>
      <c r="M127" s="235">
        <v>30</v>
      </c>
      <c r="N127" s="235">
        <f t="shared" si="12"/>
        <v>165.9</v>
      </c>
      <c r="O127" s="235">
        <v>0</v>
      </c>
      <c r="P127" s="239">
        <f t="shared" si="13"/>
        <v>0</v>
      </c>
      <c r="Q127" s="241"/>
      <c r="R127" s="11"/>
      <c r="S127" s="11"/>
      <c r="T127" s="11"/>
    </row>
    <row r="128" customFormat="1" customHeight="1" spans="1:20">
      <c r="A128" s="27">
        <v>26</v>
      </c>
      <c r="B128" s="27" t="s">
        <v>21</v>
      </c>
      <c r="C128" s="27" t="s">
        <v>22</v>
      </c>
      <c r="D128" s="29">
        <v>1</v>
      </c>
      <c r="E128" s="27" t="s">
        <v>53</v>
      </c>
      <c r="F128" s="28">
        <v>5.53</v>
      </c>
      <c r="G128" s="27" t="s">
        <v>295</v>
      </c>
      <c r="H128" s="42">
        <v>46087</v>
      </c>
      <c r="I128" s="42"/>
      <c r="J128" s="30">
        <f t="shared" si="11"/>
        <v>46177</v>
      </c>
      <c r="K128" s="38">
        <v>46113</v>
      </c>
      <c r="L128" s="38">
        <v>46142</v>
      </c>
      <c r="M128" s="235">
        <v>30</v>
      </c>
      <c r="N128" s="235">
        <f t="shared" si="12"/>
        <v>165.9</v>
      </c>
      <c r="O128" s="235">
        <v>0</v>
      </c>
      <c r="P128" s="239">
        <f t="shared" si="13"/>
        <v>0</v>
      </c>
      <c r="Q128" s="241"/>
      <c r="R128" s="11"/>
      <c r="S128" s="11"/>
      <c r="T128" s="11"/>
    </row>
    <row r="129" customFormat="1" customHeight="1" spans="1:20">
      <c r="A129" s="27">
        <v>26</v>
      </c>
      <c r="B129" s="27" t="s">
        <v>21</v>
      </c>
      <c r="C129" s="27" t="s">
        <v>22</v>
      </c>
      <c r="D129" s="29">
        <v>1</v>
      </c>
      <c r="E129" s="27" t="s">
        <v>53</v>
      </c>
      <c r="F129" s="28">
        <v>5.53</v>
      </c>
      <c r="G129" s="27" t="s">
        <v>296</v>
      </c>
      <c r="H129" s="42">
        <v>46087</v>
      </c>
      <c r="I129" s="42"/>
      <c r="J129" s="30">
        <f t="shared" si="11"/>
        <v>46177</v>
      </c>
      <c r="K129" s="38">
        <v>46113</v>
      </c>
      <c r="L129" s="38">
        <v>46142</v>
      </c>
      <c r="M129" s="235">
        <v>30</v>
      </c>
      <c r="N129" s="235">
        <f t="shared" si="12"/>
        <v>165.9</v>
      </c>
      <c r="O129" s="235">
        <v>0</v>
      </c>
      <c r="P129" s="239">
        <f t="shared" si="13"/>
        <v>0</v>
      </c>
      <c r="Q129" s="241"/>
      <c r="R129" s="11"/>
      <c r="S129" s="11"/>
      <c r="T129" s="11"/>
    </row>
    <row r="130" customFormat="1" customHeight="1" spans="1:20">
      <c r="A130" s="27">
        <v>26</v>
      </c>
      <c r="B130" s="27" t="s">
        <v>21</v>
      </c>
      <c r="C130" s="27" t="s">
        <v>22</v>
      </c>
      <c r="D130" s="29">
        <v>1</v>
      </c>
      <c r="E130" s="27" t="s">
        <v>53</v>
      </c>
      <c r="F130" s="28">
        <v>5.53</v>
      </c>
      <c r="G130" s="27" t="s">
        <v>297</v>
      </c>
      <c r="H130" s="42">
        <v>46087</v>
      </c>
      <c r="I130" s="42"/>
      <c r="J130" s="30">
        <f t="shared" si="11"/>
        <v>46177</v>
      </c>
      <c r="K130" s="38">
        <v>46113</v>
      </c>
      <c r="L130" s="38">
        <v>46142</v>
      </c>
      <c r="M130" s="235">
        <v>30</v>
      </c>
      <c r="N130" s="235">
        <f t="shared" si="12"/>
        <v>165.9</v>
      </c>
      <c r="O130" s="235">
        <v>0</v>
      </c>
      <c r="P130" s="239">
        <f t="shared" si="13"/>
        <v>0</v>
      </c>
      <c r="Q130" s="241"/>
      <c r="R130" s="11"/>
      <c r="S130" s="11"/>
      <c r="T130" s="11"/>
    </row>
    <row r="131" customFormat="1" customHeight="1" spans="1:20">
      <c r="A131" s="27">
        <v>26</v>
      </c>
      <c r="B131" s="27" t="s">
        <v>21</v>
      </c>
      <c r="C131" s="27" t="s">
        <v>22</v>
      </c>
      <c r="D131" s="29">
        <v>1</v>
      </c>
      <c r="E131" s="27" t="s">
        <v>53</v>
      </c>
      <c r="F131" s="28">
        <v>5.53</v>
      </c>
      <c r="G131" s="27" t="s">
        <v>236</v>
      </c>
      <c r="H131" s="42">
        <v>46087</v>
      </c>
      <c r="I131" s="42"/>
      <c r="J131" s="30">
        <f t="shared" si="11"/>
        <v>46177</v>
      </c>
      <c r="K131" s="38">
        <v>46113</v>
      </c>
      <c r="L131" s="38">
        <v>46142</v>
      </c>
      <c r="M131" s="235">
        <v>30</v>
      </c>
      <c r="N131" s="235">
        <f t="shared" si="12"/>
        <v>165.9</v>
      </c>
      <c r="O131" s="235">
        <v>0</v>
      </c>
      <c r="P131" s="239">
        <f t="shared" si="13"/>
        <v>0</v>
      </c>
      <c r="Q131" s="241"/>
      <c r="R131" s="11"/>
      <c r="S131" s="11"/>
      <c r="T131" s="11"/>
    </row>
    <row r="132" customFormat="1" customHeight="1" spans="1:20">
      <c r="A132" s="27">
        <v>26</v>
      </c>
      <c r="B132" s="27" t="s">
        <v>21</v>
      </c>
      <c r="C132" s="27" t="s">
        <v>22</v>
      </c>
      <c r="D132" s="29">
        <v>1</v>
      </c>
      <c r="E132" s="27" t="s">
        <v>53</v>
      </c>
      <c r="F132" s="28">
        <v>5.53</v>
      </c>
      <c r="G132" s="27" t="s">
        <v>243</v>
      </c>
      <c r="H132" s="42">
        <v>46087</v>
      </c>
      <c r="I132" s="42"/>
      <c r="J132" s="30">
        <f t="shared" si="11"/>
        <v>46177</v>
      </c>
      <c r="K132" s="38">
        <v>46113</v>
      </c>
      <c r="L132" s="38">
        <v>46142</v>
      </c>
      <c r="M132" s="235">
        <v>30</v>
      </c>
      <c r="N132" s="235">
        <f t="shared" si="12"/>
        <v>165.9</v>
      </c>
      <c r="O132" s="235">
        <v>0</v>
      </c>
      <c r="P132" s="239">
        <f t="shared" si="13"/>
        <v>0</v>
      </c>
      <c r="Q132" s="241"/>
      <c r="R132" s="11"/>
      <c r="S132" s="11"/>
      <c r="T132" s="11"/>
    </row>
    <row r="133" customFormat="1" customHeight="1" spans="1:20">
      <c r="A133" s="27">
        <v>26</v>
      </c>
      <c r="B133" s="27" t="s">
        <v>21</v>
      </c>
      <c r="C133" s="27" t="s">
        <v>22</v>
      </c>
      <c r="D133" s="29">
        <v>1</v>
      </c>
      <c r="E133" s="27" t="s">
        <v>53</v>
      </c>
      <c r="F133" s="28">
        <v>5.53</v>
      </c>
      <c r="G133" s="27" t="s">
        <v>244</v>
      </c>
      <c r="H133" s="42">
        <v>46087</v>
      </c>
      <c r="I133" s="42"/>
      <c r="J133" s="30">
        <f t="shared" si="11"/>
        <v>46177</v>
      </c>
      <c r="K133" s="38">
        <v>46113</v>
      </c>
      <c r="L133" s="38">
        <v>46142</v>
      </c>
      <c r="M133" s="235">
        <v>30</v>
      </c>
      <c r="N133" s="235">
        <f t="shared" si="12"/>
        <v>165.9</v>
      </c>
      <c r="O133" s="235">
        <v>0</v>
      </c>
      <c r="P133" s="239">
        <f t="shared" si="13"/>
        <v>0</v>
      </c>
      <c r="Q133" s="241"/>
      <c r="R133" s="11"/>
      <c r="S133" s="11"/>
      <c r="T133" s="11"/>
    </row>
    <row r="134" customFormat="1" customHeight="1" spans="1:20">
      <c r="A134" s="27">
        <v>26</v>
      </c>
      <c r="B134" s="27" t="s">
        <v>21</v>
      </c>
      <c r="C134" s="27" t="s">
        <v>22</v>
      </c>
      <c r="D134" s="29">
        <v>1</v>
      </c>
      <c r="E134" s="27" t="s">
        <v>53</v>
      </c>
      <c r="F134" s="28">
        <v>5.53</v>
      </c>
      <c r="G134" s="27" t="s">
        <v>298</v>
      </c>
      <c r="H134" s="42">
        <v>46087</v>
      </c>
      <c r="I134" s="42"/>
      <c r="J134" s="30">
        <f t="shared" si="11"/>
        <v>46177</v>
      </c>
      <c r="K134" s="38">
        <v>46113</v>
      </c>
      <c r="L134" s="38">
        <v>46142</v>
      </c>
      <c r="M134" s="235">
        <v>30</v>
      </c>
      <c r="N134" s="235">
        <f t="shared" si="12"/>
        <v>165.9</v>
      </c>
      <c r="O134" s="235">
        <v>0</v>
      </c>
      <c r="P134" s="239">
        <f t="shared" si="13"/>
        <v>0</v>
      </c>
      <c r="Q134" s="244" t="s">
        <v>250</v>
      </c>
      <c r="R134" s="11"/>
      <c r="S134" s="11"/>
      <c r="T134" s="11"/>
    </row>
    <row r="135" customFormat="1" customHeight="1" spans="1:20">
      <c r="A135" s="27">
        <v>26</v>
      </c>
      <c r="B135" s="27" t="s">
        <v>21</v>
      </c>
      <c r="C135" s="27" t="s">
        <v>22</v>
      </c>
      <c r="D135" s="29">
        <v>1</v>
      </c>
      <c r="E135" s="27" t="s">
        <v>53</v>
      </c>
      <c r="F135" s="28">
        <v>5.53</v>
      </c>
      <c r="G135" s="27" t="s">
        <v>299</v>
      </c>
      <c r="H135" s="42">
        <v>46087</v>
      </c>
      <c r="I135" s="42"/>
      <c r="J135" s="30">
        <f t="shared" si="11"/>
        <v>46177</v>
      </c>
      <c r="K135" s="38">
        <v>46113</v>
      </c>
      <c r="L135" s="38">
        <v>46142</v>
      </c>
      <c r="M135" s="235">
        <v>30</v>
      </c>
      <c r="N135" s="235">
        <f t="shared" si="12"/>
        <v>165.9</v>
      </c>
      <c r="O135" s="235">
        <v>0</v>
      </c>
      <c r="P135" s="239">
        <f t="shared" si="13"/>
        <v>0</v>
      </c>
      <c r="Q135" s="245" t="s">
        <v>300</v>
      </c>
      <c r="R135" s="11"/>
      <c r="S135" s="11"/>
      <c r="T135" s="11"/>
    </row>
    <row r="136" customFormat="1" customHeight="1" spans="1:20">
      <c r="A136" s="27">
        <v>26</v>
      </c>
      <c r="B136" s="27" t="s">
        <v>21</v>
      </c>
      <c r="C136" s="27" t="s">
        <v>22</v>
      </c>
      <c r="D136" s="29">
        <v>1</v>
      </c>
      <c r="E136" s="27" t="s">
        <v>53</v>
      </c>
      <c r="F136" s="28">
        <v>5.53</v>
      </c>
      <c r="G136" s="27" t="s">
        <v>301</v>
      </c>
      <c r="H136" s="42">
        <v>46087</v>
      </c>
      <c r="I136" s="42"/>
      <c r="J136" s="30">
        <f t="shared" si="11"/>
        <v>46177</v>
      </c>
      <c r="K136" s="38">
        <v>46113</v>
      </c>
      <c r="L136" s="38">
        <v>46142</v>
      </c>
      <c r="M136" s="235">
        <v>30</v>
      </c>
      <c r="N136" s="235">
        <f t="shared" si="12"/>
        <v>165.9</v>
      </c>
      <c r="O136" s="235">
        <v>0</v>
      </c>
      <c r="P136" s="239">
        <f t="shared" si="13"/>
        <v>0</v>
      </c>
      <c r="Q136" s="245" t="s">
        <v>302</v>
      </c>
      <c r="R136" s="11"/>
      <c r="S136" s="11"/>
      <c r="T136" s="11"/>
    </row>
    <row r="137" customFormat="1" customHeight="1" spans="1:20">
      <c r="A137" s="27">
        <v>26</v>
      </c>
      <c r="B137" s="27" t="s">
        <v>21</v>
      </c>
      <c r="C137" s="27" t="s">
        <v>22</v>
      </c>
      <c r="D137" s="29">
        <v>1</v>
      </c>
      <c r="E137" s="27" t="s">
        <v>53</v>
      </c>
      <c r="F137" s="28">
        <v>5.53</v>
      </c>
      <c r="G137" s="27" t="s">
        <v>222</v>
      </c>
      <c r="H137" s="42">
        <v>46087</v>
      </c>
      <c r="I137" s="42"/>
      <c r="J137" s="30">
        <f t="shared" si="11"/>
        <v>46177</v>
      </c>
      <c r="K137" s="38">
        <v>46113</v>
      </c>
      <c r="L137" s="38">
        <v>46142</v>
      </c>
      <c r="M137" s="235">
        <v>30</v>
      </c>
      <c r="N137" s="235">
        <f t="shared" si="12"/>
        <v>165.9</v>
      </c>
      <c r="O137" s="235">
        <v>0</v>
      </c>
      <c r="P137" s="239">
        <f t="shared" si="13"/>
        <v>0</v>
      </c>
      <c r="Q137" s="245" t="s">
        <v>223</v>
      </c>
      <c r="R137" s="11"/>
      <c r="S137" s="11"/>
      <c r="T137" s="11"/>
    </row>
    <row r="138" customFormat="1" customHeight="1" spans="1:20">
      <c r="A138" s="27">
        <v>26</v>
      </c>
      <c r="B138" s="27" t="s">
        <v>21</v>
      </c>
      <c r="C138" s="27" t="s">
        <v>22</v>
      </c>
      <c r="D138" s="29">
        <v>1</v>
      </c>
      <c r="E138" s="27" t="s">
        <v>53</v>
      </c>
      <c r="F138" s="28">
        <v>5.53</v>
      </c>
      <c r="G138" s="27" t="s">
        <v>224</v>
      </c>
      <c r="H138" s="42">
        <v>46087</v>
      </c>
      <c r="I138" s="42"/>
      <c r="J138" s="30">
        <f t="shared" si="11"/>
        <v>46177</v>
      </c>
      <c r="K138" s="38">
        <v>46113</v>
      </c>
      <c r="L138" s="38">
        <v>46142</v>
      </c>
      <c r="M138" s="235">
        <v>30</v>
      </c>
      <c r="N138" s="235">
        <f t="shared" si="12"/>
        <v>165.9</v>
      </c>
      <c r="O138" s="235">
        <v>0</v>
      </c>
      <c r="P138" s="239">
        <f t="shared" si="13"/>
        <v>0</v>
      </c>
      <c r="Q138" s="245" t="s">
        <v>225</v>
      </c>
      <c r="R138" s="11"/>
      <c r="S138" s="11"/>
      <c r="T138" s="11"/>
    </row>
    <row r="139" customFormat="1" customHeight="1" spans="1:20">
      <c r="A139" s="27">
        <v>26</v>
      </c>
      <c r="B139" s="27" t="s">
        <v>21</v>
      </c>
      <c r="C139" s="27" t="s">
        <v>22</v>
      </c>
      <c r="D139" s="29">
        <v>1</v>
      </c>
      <c r="E139" s="27" t="s">
        <v>53</v>
      </c>
      <c r="F139" s="28">
        <v>5.53</v>
      </c>
      <c r="G139" s="27" t="s">
        <v>226</v>
      </c>
      <c r="H139" s="42">
        <v>46087</v>
      </c>
      <c r="I139" s="42"/>
      <c r="J139" s="30">
        <f t="shared" si="11"/>
        <v>46177</v>
      </c>
      <c r="K139" s="38">
        <v>46113</v>
      </c>
      <c r="L139" s="38">
        <v>46142</v>
      </c>
      <c r="M139" s="235">
        <v>30</v>
      </c>
      <c r="N139" s="235">
        <f t="shared" si="12"/>
        <v>165.9</v>
      </c>
      <c r="O139" s="235">
        <v>0</v>
      </c>
      <c r="P139" s="239">
        <f t="shared" si="13"/>
        <v>0</v>
      </c>
      <c r="Q139" s="245" t="s">
        <v>227</v>
      </c>
      <c r="R139" s="11"/>
      <c r="S139" s="11"/>
      <c r="T139" s="11"/>
    </row>
    <row r="140" customFormat="1" customHeight="1" spans="1:20">
      <c r="A140" s="27">
        <v>26</v>
      </c>
      <c r="B140" s="27" t="s">
        <v>21</v>
      </c>
      <c r="C140" s="27" t="s">
        <v>22</v>
      </c>
      <c r="D140" s="29">
        <v>1</v>
      </c>
      <c r="E140" s="27" t="s">
        <v>53</v>
      </c>
      <c r="F140" s="28">
        <v>5.53</v>
      </c>
      <c r="G140" s="27" t="s">
        <v>228</v>
      </c>
      <c r="H140" s="42">
        <v>46087</v>
      </c>
      <c r="I140" s="42"/>
      <c r="J140" s="30">
        <f t="shared" si="11"/>
        <v>46177</v>
      </c>
      <c r="K140" s="38">
        <v>46113</v>
      </c>
      <c r="L140" s="38">
        <v>46142</v>
      </c>
      <c r="M140" s="235">
        <v>30</v>
      </c>
      <c r="N140" s="235">
        <f t="shared" si="12"/>
        <v>165.9</v>
      </c>
      <c r="O140" s="235">
        <v>0</v>
      </c>
      <c r="P140" s="239">
        <f t="shared" si="13"/>
        <v>0</v>
      </c>
      <c r="Q140" s="245" t="s">
        <v>229</v>
      </c>
      <c r="R140" s="11"/>
      <c r="S140" s="11"/>
      <c r="T140" s="11"/>
    </row>
    <row r="141" customFormat="1" customHeight="1" spans="1:20">
      <c r="A141" s="27">
        <v>26</v>
      </c>
      <c r="B141" s="27" t="s">
        <v>21</v>
      </c>
      <c r="C141" s="27" t="s">
        <v>22</v>
      </c>
      <c r="D141" s="29">
        <v>1</v>
      </c>
      <c r="E141" s="27" t="s">
        <v>53</v>
      </c>
      <c r="F141" s="28">
        <v>5.53</v>
      </c>
      <c r="G141" s="27" t="s">
        <v>230</v>
      </c>
      <c r="H141" s="42">
        <v>46087</v>
      </c>
      <c r="I141" s="42"/>
      <c r="J141" s="30">
        <f t="shared" si="11"/>
        <v>46177</v>
      </c>
      <c r="K141" s="38">
        <v>46113</v>
      </c>
      <c r="L141" s="38">
        <v>46142</v>
      </c>
      <c r="M141" s="235">
        <v>30</v>
      </c>
      <c r="N141" s="235">
        <f t="shared" si="12"/>
        <v>165.9</v>
      </c>
      <c r="O141" s="235">
        <v>0</v>
      </c>
      <c r="P141" s="239">
        <f t="shared" si="13"/>
        <v>0</v>
      </c>
      <c r="Q141" s="246" t="s">
        <v>231</v>
      </c>
      <c r="R141" s="11"/>
      <c r="S141" s="11"/>
      <c r="T141" s="11"/>
    </row>
    <row r="142" customFormat="1" customHeight="1" spans="1:20">
      <c r="A142" s="27">
        <v>26</v>
      </c>
      <c r="B142" s="27" t="s">
        <v>21</v>
      </c>
      <c r="C142" s="27" t="s">
        <v>22</v>
      </c>
      <c r="D142" s="29">
        <v>1</v>
      </c>
      <c r="E142" s="27" t="s">
        <v>53</v>
      </c>
      <c r="F142" s="28">
        <v>5.53</v>
      </c>
      <c r="G142" s="27" t="s">
        <v>303</v>
      </c>
      <c r="H142" s="42">
        <v>46087</v>
      </c>
      <c r="I142" s="42"/>
      <c r="J142" s="30">
        <f t="shared" si="11"/>
        <v>46177</v>
      </c>
      <c r="K142" s="38">
        <v>46113</v>
      </c>
      <c r="L142" s="38">
        <v>46142</v>
      </c>
      <c r="M142" s="235">
        <v>30</v>
      </c>
      <c r="N142" s="235">
        <f t="shared" si="12"/>
        <v>165.9</v>
      </c>
      <c r="O142" s="235">
        <v>0</v>
      </c>
      <c r="P142" s="239">
        <f t="shared" si="13"/>
        <v>0</v>
      </c>
      <c r="Q142" s="241"/>
      <c r="R142" s="11"/>
      <c r="S142" s="11"/>
      <c r="T142" s="11"/>
    </row>
    <row r="143" customFormat="1" customHeight="1" spans="1:20">
      <c r="A143" s="27">
        <v>26</v>
      </c>
      <c r="B143" s="27" t="s">
        <v>21</v>
      </c>
      <c r="C143" s="27" t="s">
        <v>22</v>
      </c>
      <c r="D143" s="29">
        <v>1</v>
      </c>
      <c r="E143" s="27" t="s">
        <v>53</v>
      </c>
      <c r="F143" s="28">
        <v>5.53</v>
      </c>
      <c r="G143" s="27" t="s">
        <v>304</v>
      </c>
      <c r="H143" s="42">
        <v>46087</v>
      </c>
      <c r="I143" s="42"/>
      <c r="J143" s="30">
        <f t="shared" si="11"/>
        <v>46177</v>
      </c>
      <c r="K143" s="38">
        <v>46113</v>
      </c>
      <c r="L143" s="38">
        <v>46142</v>
      </c>
      <c r="M143" s="235">
        <v>30</v>
      </c>
      <c r="N143" s="235">
        <f t="shared" si="12"/>
        <v>165.9</v>
      </c>
      <c r="O143" s="235">
        <v>0</v>
      </c>
      <c r="P143" s="239">
        <f t="shared" si="13"/>
        <v>0</v>
      </c>
      <c r="Q143" s="241"/>
      <c r="R143" s="11"/>
      <c r="S143" s="11"/>
      <c r="T143" s="11"/>
    </row>
    <row r="144" customFormat="1" customHeight="1" spans="1:20">
      <c r="A144" s="27">
        <v>26</v>
      </c>
      <c r="B144" s="27" t="s">
        <v>21</v>
      </c>
      <c r="C144" s="27" t="s">
        <v>22</v>
      </c>
      <c r="D144" s="29">
        <v>1</v>
      </c>
      <c r="E144" s="27" t="s">
        <v>53</v>
      </c>
      <c r="F144" s="28">
        <v>5.53</v>
      </c>
      <c r="G144" s="27" t="s">
        <v>305</v>
      </c>
      <c r="H144" s="42">
        <v>46087</v>
      </c>
      <c r="I144" s="42"/>
      <c r="J144" s="30">
        <f t="shared" si="11"/>
        <v>46177</v>
      </c>
      <c r="K144" s="38">
        <v>46113</v>
      </c>
      <c r="L144" s="38">
        <v>46142</v>
      </c>
      <c r="M144" s="235">
        <v>30</v>
      </c>
      <c r="N144" s="235">
        <f t="shared" si="12"/>
        <v>165.9</v>
      </c>
      <c r="O144" s="235">
        <v>0</v>
      </c>
      <c r="P144" s="239">
        <f t="shared" si="13"/>
        <v>0</v>
      </c>
      <c r="Q144" s="241"/>
      <c r="R144" s="11"/>
      <c r="S144" s="11"/>
      <c r="T144" s="11"/>
    </row>
    <row r="145" customFormat="1" customHeight="1" spans="1:20">
      <c r="A145" s="27">
        <v>26</v>
      </c>
      <c r="B145" s="27" t="s">
        <v>21</v>
      </c>
      <c r="C145" s="27" t="s">
        <v>22</v>
      </c>
      <c r="D145" s="29">
        <v>1</v>
      </c>
      <c r="E145" s="27" t="s">
        <v>53</v>
      </c>
      <c r="F145" s="28">
        <v>5.53</v>
      </c>
      <c r="G145" s="27" t="s">
        <v>306</v>
      </c>
      <c r="H145" s="42">
        <v>46087</v>
      </c>
      <c r="I145" s="42"/>
      <c r="J145" s="30">
        <f t="shared" si="11"/>
        <v>46177</v>
      </c>
      <c r="K145" s="38">
        <v>46113</v>
      </c>
      <c r="L145" s="38">
        <v>46142</v>
      </c>
      <c r="M145" s="235">
        <v>30</v>
      </c>
      <c r="N145" s="235">
        <f t="shared" si="12"/>
        <v>165.9</v>
      </c>
      <c r="O145" s="235">
        <v>0</v>
      </c>
      <c r="P145" s="239">
        <f t="shared" si="13"/>
        <v>0</v>
      </c>
      <c r="Q145" s="241"/>
      <c r="R145" s="11"/>
      <c r="S145" s="11"/>
      <c r="T145" s="11"/>
    </row>
    <row r="146" customFormat="1" customHeight="1" spans="1:20">
      <c r="A146" s="27">
        <v>26</v>
      </c>
      <c r="B146" s="27" t="s">
        <v>21</v>
      </c>
      <c r="C146" s="27" t="s">
        <v>22</v>
      </c>
      <c r="D146" s="29">
        <v>1</v>
      </c>
      <c r="E146" s="27" t="s">
        <v>53</v>
      </c>
      <c r="F146" s="28">
        <v>5.53</v>
      </c>
      <c r="G146" s="27" t="s">
        <v>307</v>
      </c>
      <c r="H146" s="42">
        <v>46087</v>
      </c>
      <c r="I146" s="42"/>
      <c r="J146" s="30">
        <f t="shared" si="11"/>
        <v>46177</v>
      </c>
      <c r="K146" s="38">
        <v>46113</v>
      </c>
      <c r="L146" s="38">
        <v>46142</v>
      </c>
      <c r="M146" s="235">
        <v>30</v>
      </c>
      <c r="N146" s="235">
        <f t="shared" si="12"/>
        <v>165.9</v>
      </c>
      <c r="O146" s="235">
        <v>0</v>
      </c>
      <c r="P146" s="239">
        <f t="shared" si="13"/>
        <v>0</v>
      </c>
      <c r="Q146" s="241"/>
      <c r="R146" s="11"/>
      <c r="S146" s="11"/>
      <c r="T146" s="11"/>
    </row>
    <row r="147" customFormat="1" customHeight="1" spans="1:20">
      <c r="A147" s="27">
        <v>26</v>
      </c>
      <c r="B147" s="27" t="s">
        <v>21</v>
      </c>
      <c r="C147" s="27" t="s">
        <v>22</v>
      </c>
      <c r="D147" s="29">
        <v>1</v>
      </c>
      <c r="E147" s="27" t="s">
        <v>53</v>
      </c>
      <c r="F147" s="28">
        <v>5.53</v>
      </c>
      <c r="G147" s="27" t="s">
        <v>308</v>
      </c>
      <c r="H147" s="42">
        <v>46087</v>
      </c>
      <c r="I147" s="42"/>
      <c r="J147" s="30">
        <f t="shared" si="11"/>
        <v>46177</v>
      </c>
      <c r="K147" s="38">
        <v>46113</v>
      </c>
      <c r="L147" s="38">
        <v>46142</v>
      </c>
      <c r="M147" s="235">
        <v>30</v>
      </c>
      <c r="N147" s="235">
        <f t="shared" si="12"/>
        <v>165.9</v>
      </c>
      <c r="O147" s="235">
        <v>0</v>
      </c>
      <c r="P147" s="239">
        <f t="shared" si="13"/>
        <v>0</v>
      </c>
      <c r="Q147" s="241"/>
      <c r="R147" s="11"/>
      <c r="S147" s="11"/>
      <c r="T147" s="11"/>
    </row>
    <row r="148" customFormat="1" customHeight="1" spans="1:20">
      <c r="A148" s="27">
        <v>26</v>
      </c>
      <c r="B148" s="27" t="s">
        <v>21</v>
      </c>
      <c r="C148" s="27" t="s">
        <v>22</v>
      </c>
      <c r="D148" s="29">
        <v>1</v>
      </c>
      <c r="E148" s="27" t="s">
        <v>53</v>
      </c>
      <c r="F148" s="28">
        <v>5.53</v>
      </c>
      <c r="G148" s="27" t="s">
        <v>309</v>
      </c>
      <c r="H148" s="42">
        <v>46087</v>
      </c>
      <c r="I148" s="42"/>
      <c r="J148" s="30">
        <f t="shared" si="11"/>
        <v>46177</v>
      </c>
      <c r="K148" s="38">
        <v>46113</v>
      </c>
      <c r="L148" s="38">
        <v>46142</v>
      </c>
      <c r="M148" s="235">
        <v>30</v>
      </c>
      <c r="N148" s="235">
        <f t="shared" si="12"/>
        <v>165.9</v>
      </c>
      <c r="O148" s="235">
        <v>0</v>
      </c>
      <c r="P148" s="239">
        <f t="shared" si="13"/>
        <v>0</v>
      </c>
      <c r="Q148" s="241"/>
      <c r="R148" s="11"/>
      <c r="S148" s="11"/>
      <c r="T148" s="11"/>
    </row>
    <row r="149" customFormat="1" customHeight="1" spans="1:20">
      <c r="A149" s="27">
        <v>26</v>
      </c>
      <c r="B149" s="27" t="s">
        <v>21</v>
      </c>
      <c r="C149" s="27" t="s">
        <v>22</v>
      </c>
      <c r="D149" s="29">
        <v>1</v>
      </c>
      <c r="E149" s="27" t="s">
        <v>53</v>
      </c>
      <c r="F149" s="28">
        <v>5.53</v>
      </c>
      <c r="G149" s="27" t="s">
        <v>310</v>
      </c>
      <c r="H149" s="42">
        <v>46087</v>
      </c>
      <c r="I149" s="42"/>
      <c r="J149" s="30">
        <f t="shared" si="11"/>
        <v>46177</v>
      </c>
      <c r="K149" s="38">
        <v>46113</v>
      </c>
      <c r="L149" s="38">
        <v>46142</v>
      </c>
      <c r="M149" s="235">
        <v>30</v>
      </c>
      <c r="N149" s="235">
        <f t="shared" si="12"/>
        <v>165.9</v>
      </c>
      <c r="O149" s="235">
        <v>0</v>
      </c>
      <c r="P149" s="239">
        <f t="shared" si="13"/>
        <v>0</v>
      </c>
      <c r="Q149" s="241"/>
      <c r="R149" s="11"/>
      <c r="S149" s="11"/>
      <c r="T149" s="11"/>
    </row>
    <row r="150" customFormat="1" customHeight="1" spans="1:20">
      <c r="A150" s="27">
        <v>26</v>
      </c>
      <c r="B150" s="27" t="s">
        <v>21</v>
      </c>
      <c r="C150" s="27" t="s">
        <v>22</v>
      </c>
      <c r="D150" s="29">
        <v>1</v>
      </c>
      <c r="E150" s="27" t="s">
        <v>53</v>
      </c>
      <c r="F150" s="28">
        <v>5.53</v>
      </c>
      <c r="G150" s="27" t="s">
        <v>311</v>
      </c>
      <c r="H150" s="42">
        <v>46087</v>
      </c>
      <c r="I150" s="42"/>
      <c r="J150" s="30">
        <f t="shared" si="11"/>
        <v>46177</v>
      </c>
      <c r="K150" s="38">
        <v>46113</v>
      </c>
      <c r="L150" s="38">
        <v>46142</v>
      </c>
      <c r="M150" s="235">
        <v>30</v>
      </c>
      <c r="N150" s="235">
        <f t="shared" si="12"/>
        <v>165.9</v>
      </c>
      <c r="O150" s="235">
        <v>0</v>
      </c>
      <c r="P150" s="239">
        <f t="shared" si="13"/>
        <v>0</v>
      </c>
      <c r="Q150" s="241"/>
      <c r="R150" s="11"/>
      <c r="S150" s="11"/>
      <c r="T150" s="11"/>
    </row>
    <row r="151" customFormat="1" customHeight="1" spans="1:20">
      <c r="A151" s="27">
        <v>26</v>
      </c>
      <c r="B151" s="27" t="s">
        <v>21</v>
      </c>
      <c r="C151" s="27" t="s">
        <v>22</v>
      </c>
      <c r="D151" s="29">
        <v>1</v>
      </c>
      <c r="E151" s="27" t="s">
        <v>53</v>
      </c>
      <c r="F151" s="28">
        <v>5.53</v>
      </c>
      <c r="G151" s="27" t="s">
        <v>312</v>
      </c>
      <c r="H151" s="42">
        <v>46087</v>
      </c>
      <c r="I151" s="42"/>
      <c r="J151" s="30">
        <f t="shared" si="11"/>
        <v>46177</v>
      </c>
      <c r="K151" s="38">
        <v>46113</v>
      </c>
      <c r="L151" s="38">
        <v>46142</v>
      </c>
      <c r="M151" s="235">
        <v>30</v>
      </c>
      <c r="N151" s="235">
        <f t="shared" si="12"/>
        <v>165.9</v>
      </c>
      <c r="O151" s="235">
        <v>0</v>
      </c>
      <c r="P151" s="239">
        <f t="shared" si="13"/>
        <v>0</v>
      </c>
      <c r="Q151" s="241"/>
      <c r="R151" s="11"/>
      <c r="S151" s="11"/>
      <c r="T151" s="11"/>
    </row>
    <row r="152" customFormat="1" customHeight="1" spans="1:20">
      <c r="A152" s="27">
        <v>26</v>
      </c>
      <c r="B152" s="27" t="s">
        <v>21</v>
      </c>
      <c r="C152" s="27" t="s">
        <v>22</v>
      </c>
      <c r="D152" s="29">
        <v>1</v>
      </c>
      <c r="E152" s="27" t="s">
        <v>53</v>
      </c>
      <c r="F152" s="28">
        <v>5.53</v>
      </c>
      <c r="G152" s="27" t="s">
        <v>313</v>
      </c>
      <c r="H152" s="42">
        <v>46087</v>
      </c>
      <c r="I152" s="42"/>
      <c r="J152" s="30">
        <f t="shared" si="11"/>
        <v>46177</v>
      </c>
      <c r="K152" s="38">
        <v>46113</v>
      </c>
      <c r="L152" s="38">
        <v>46142</v>
      </c>
      <c r="M152" s="235">
        <v>30</v>
      </c>
      <c r="N152" s="235">
        <f t="shared" si="12"/>
        <v>165.9</v>
      </c>
      <c r="O152" s="235">
        <v>0</v>
      </c>
      <c r="P152" s="239">
        <f t="shared" si="13"/>
        <v>0</v>
      </c>
      <c r="Q152" s="241"/>
      <c r="R152" s="11"/>
      <c r="S152" s="11"/>
      <c r="T152" s="11"/>
    </row>
    <row r="153" customFormat="1" customHeight="1" spans="1:20">
      <c r="A153" s="27">
        <v>26</v>
      </c>
      <c r="B153" s="27" t="s">
        <v>21</v>
      </c>
      <c r="C153" s="27" t="s">
        <v>22</v>
      </c>
      <c r="D153" s="29">
        <v>1</v>
      </c>
      <c r="E153" s="27" t="s">
        <v>53</v>
      </c>
      <c r="F153" s="28">
        <v>5.53</v>
      </c>
      <c r="G153" s="27" t="s">
        <v>314</v>
      </c>
      <c r="H153" s="42">
        <v>46087</v>
      </c>
      <c r="I153" s="42"/>
      <c r="J153" s="30">
        <f t="shared" si="11"/>
        <v>46177</v>
      </c>
      <c r="K153" s="38">
        <v>46113</v>
      </c>
      <c r="L153" s="38">
        <v>46142</v>
      </c>
      <c r="M153" s="235">
        <v>30</v>
      </c>
      <c r="N153" s="235">
        <f t="shared" si="12"/>
        <v>165.9</v>
      </c>
      <c r="O153" s="235">
        <v>0</v>
      </c>
      <c r="P153" s="239">
        <f t="shared" si="13"/>
        <v>0</v>
      </c>
      <c r="Q153" s="241"/>
      <c r="R153" s="11"/>
      <c r="S153" s="11"/>
      <c r="T153" s="11"/>
    </row>
    <row r="154" customFormat="1" customHeight="1" spans="1:20">
      <c r="A154" s="27">
        <v>26</v>
      </c>
      <c r="B154" s="27" t="s">
        <v>21</v>
      </c>
      <c r="C154" s="27" t="s">
        <v>22</v>
      </c>
      <c r="D154" s="29">
        <v>1</v>
      </c>
      <c r="E154" s="27" t="s">
        <v>53</v>
      </c>
      <c r="F154" s="28">
        <v>5.53</v>
      </c>
      <c r="G154" s="27" t="s">
        <v>315</v>
      </c>
      <c r="H154" s="42">
        <v>46087</v>
      </c>
      <c r="I154" s="42"/>
      <c r="J154" s="30">
        <f t="shared" si="11"/>
        <v>46177</v>
      </c>
      <c r="K154" s="38">
        <v>46113</v>
      </c>
      <c r="L154" s="38">
        <v>46142</v>
      </c>
      <c r="M154" s="235">
        <v>30</v>
      </c>
      <c r="N154" s="235">
        <f t="shared" si="12"/>
        <v>165.9</v>
      </c>
      <c r="O154" s="235">
        <v>0</v>
      </c>
      <c r="P154" s="239">
        <f t="shared" si="13"/>
        <v>0</v>
      </c>
      <c r="Q154" s="241"/>
      <c r="R154" s="11"/>
      <c r="S154" s="11"/>
      <c r="T154" s="11"/>
    </row>
    <row r="155" customFormat="1" customHeight="1" spans="1:20">
      <c r="A155" s="29" t="s">
        <v>126</v>
      </c>
      <c r="B155" s="29"/>
      <c r="C155" s="29"/>
      <c r="D155" s="29">
        <f>SUM(D40:D154)</f>
        <v>115</v>
      </c>
      <c r="E155" s="29" t="s">
        <v>127</v>
      </c>
      <c r="F155" s="29"/>
      <c r="G155" s="29"/>
      <c r="H155" s="29"/>
      <c r="I155" s="29"/>
      <c r="J155" s="29"/>
      <c r="K155" s="29"/>
      <c r="L155" s="29"/>
      <c r="M155" s="29"/>
      <c r="N155" s="239">
        <f>SUM(N40:N154)</f>
        <v>19288.5</v>
      </c>
      <c r="O155" s="235"/>
      <c r="P155" s="239">
        <f>SUM(P40:P154)</f>
        <v>4855.2</v>
      </c>
      <c r="Q155" s="241"/>
      <c r="R155" s="11"/>
      <c r="S155" s="11"/>
      <c r="T155" s="11"/>
    </row>
    <row r="156" customFormat="1" customHeight="1" spans="1:20">
      <c r="A156" s="12"/>
      <c r="B156" s="12"/>
      <c r="C156" s="12"/>
      <c r="D156" s="12"/>
      <c r="E156" s="12"/>
      <c r="F156" s="12"/>
      <c r="G156" s="12"/>
      <c r="H156" s="12"/>
      <c r="I156" s="12"/>
      <c r="J156" s="12"/>
      <c r="K156" s="11"/>
      <c r="L156" s="11"/>
      <c r="M156" s="11"/>
      <c r="N156" s="11"/>
      <c r="O156" s="11"/>
      <c r="P156" s="11"/>
      <c r="Q156" s="11"/>
      <c r="R156" s="11"/>
      <c r="S156" s="11"/>
      <c r="T156" s="11"/>
    </row>
    <row r="157" customFormat="1" customHeight="1" spans="1:20">
      <c r="A157" s="48" t="s">
        <v>16</v>
      </c>
      <c r="B157" s="48" t="s">
        <v>17</v>
      </c>
      <c r="C157" s="48" t="s">
        <v>18</v>
      </c>
      <c r="D157" s="48" t="s">
        <v>65</v>
      </c>
      <c r="E157" s="48" t="s">
        <v>46</v>
      </c>
      <c r="F157" s="48" t="s">
        <v>75</v>
      </c>
      <c r="G157" s="48"/>
      <c r="H157" s="48"/>
      <c r="I157" s="48"/>
      <c r="J157" s="48"/>
      <c r="K157" s="48"/>
      <c r="L157" s="48"/>
      <c r="M157" s="48"/>
      <c r="N157" s="48"/>
      <c r="O157" s="11"/>
      <c r="P157" s="11"/>
      <c r="Q157" s="11"/>
      <c r="R157" s="11"/>
      <c r="S157" s="11"/>
      <c r="T157" s="11"/>
    </row>
    <row r="158" customFormat="1" customHeight="1" spans="1:20">
      <c r="A158" s="27">
        <v>50</v>
      </c>
      <c r="B158" s="27" t="s">
        <v>30</v>
      </c>
      <c r="C158" s="27" t="s">
        <v>31</v>
      </c>
      <c r="D158" s="32">
        <v>1</v>
      </c>
      <c r="E158" s="27" t="s">
        <v>53</v>
      </c>
      <c r="F158" s="32">
        <f>P36</f>
        <v>296.01</v>
      </c>
      <c r="G158" s="32"/>
      <c r="H158" s="32"/>
      <c r="I158" s="32"/>
      <c r="J158" s="32"/>
      <c r="K158" s="32"/>
      <c r="L158" s="32"/>
      <c r="M158" s="32"/>
      <c r="N158" s="32"/>
      <c r="O158" s="11"/>
      <c r="P158" s="11"/>
      <c r="Q158" s="11"/>
      <c r="R158" s="11"/>
      <c r="S158" s="11"/>
      <c r="T158" s="11"/>
    </row>
    <row r="159" customFormat="1" customHeight="1" spans="1:20">
      <c r="A159" s="27">
        <v>26</v>
      </c>
      <c r="B159" s="27" t="s">
        <v>21</v>
      </c>
      <c r="C159" s="27" t="s">
        <v>22</v>
      </c>
      <c r="D159" s="32">
        <v>87</v>
      </c>
      <c r="E159" s="27" t="s">
        <v>53</v>
      </c>
      <c r="F159" s="32">
        <f>SUM(P68:P154)</f>
        <v>0</v>
      </c>
      <c r="G159" s="32"/>
      <c r="H159" s="32"/>
      <c r="I159" s="32"/>
      <c r="J159" s="32"/>
      <c r="K159" s="32"/>
      <c r="L159" s="32"/>
      <c r="M159" s="32"/>
      <c r="N159" s="32"/>
      <c r="O159" s="11"/>
      <c r="P159" s="11"/>
      <c r="Q159" s="11"/>
      <c r="R159" s="11"/>
      <c r="S159" s="11"/>
      <c r="T159" s="11"/>
    </row>
    <row r="160" customFormat="1" customHeight="1" spans="1:20">
      <c r="A160" s="27">
        <v>35</v>
      </c>
      <c r="B160" s="14" t="s">
        <v>51</v>
      </c>
      <c r="C160" s="14" t="s">
        <v>54</v>
      </c>
      <c r="D160" s="32">
        <v>21</v>
      </c>
      <c r="E160" s="27" t="s">
        <v>53</v>
      </c>
      <c r="F160" s="55">
        <f>SUM(P3:P23)</f>
        <v>15.6</v>
      </c>
      <c r="G160" s="154"/>
      <c r="H160" s="154"/>
      <c r="I160" s="154"/>
      <c r="J160" s="154"/>
      <c r="K160" s="154"/>
      <c r="L160" s="154"/>
      <c r="M160" s="154"/>
      <c r="N160" s="155"/>
      <c r="O160" s="11"/>
      <c r="P160" s="11"/>
      <c r="Q160" s="11"/>
      <c r="R160" s="11"/>
      <c r="S160" s="11"/>
      <c r="T160" s="11"/>
    </row>
    <row r="161" customFormat="1" customHeight="1" spans="1:20">
      <c r="A161" s="27">
        <v>12</v>
      </c>
      <c r="B161" s="27" t="s">
        <v>25</v>
      </c>
      <c r="C161" s="27" t="s">
        <v>28</v>
      </c>
      <c r="D161" s="14">
        <v>15</v>
      </c>
      <c r="E161" s="14" t="s">
        <v>53</v>
      </c>
      <c r="F161" s="55">
        <f>P31</f>
        <v>100842</v>
      </c>
      <c r="G161" s="154"/>
      <c r="H161" s="154"/>
      <c r="I161" s="154"/>
      <c r="J161" s="154"/>
      <c r="K161" s="154"/>
      <c r="L161" s="154"/>
      <c r="M161" s="154"/>
      <c r="N161" s="155"/>
      <c r="O161" s="11"/>
      <c r="P161" s="11"/>
      <c r="Q161" s="11"/>
      <c r="R161" s="11"/>
      <c r="S161" s="11"/>
      <c r="T161" s="11"/>
    </row>
    <row r="162" customFormat="1" customHeight="1" spans="1:20">
      <c r="A162" s="27">
        <v>5</v>
      </c>
      <c r="B162" s="27" t="s">
        <v>25</v>
      </c>
      <c r="C162" s="27" t="s">
        <v>212</v>
      </c>
      <c r="D162" s="27">
        <v>6</v>
      </c>
      <c r="E162" s="27" t="s">
        <v>53</v>
      </c>
      <c r="F162" s="55">
        <f>P33</f>
        <v>0</v>
      </c>
      <c r="G162" s="154"/>
      <c r="H162" s="154"/>
      <c r="I162" s="154"/>
      <c r="J162" s="154"/>
      <c r="K162" s="154"/>
      <c r="L162" s="154"/>
      <c r="M162" s="154"/>
      <c r="N162" s="155"/>
      <c r="O162" s="11"/>
      <c r="P162" s="11"/>
      <c r="Q162" s="11"/>
      <c r="R162" s="11"/>
      <c r="S162" s="11"/>
      <c r="T162" s="11"/>
    </row>
    <row r="163" customFormat="1" customHeight="1" spans="1:20">
      <c r="A163" s="27">
        <v>36</v>
      </c>
      <c r="B163" s="27" t="s">
        <v>21</v>
      </c>
      <c r="C163" s="27" t="s">
        <v>33</v>
      </c>
      <c r="D163" s="32">
        <v>28</v>
      </c>
      <c r="E163" s="27" t="s">
        <v>53</v>
      </c>
      <c r="F163" s="55">
        <f>SUM(P40:P67)</f>
        <v>4855.2</v>
      </c>
      <c r="G163" s="154"/>
      <c r="H163" s="154"/>
      <c r="I163" s="154"/>
      <c r="J163" s="154"/>
      <c r="K163" s="154"/>
      <c r="L163" s="154"/>
      <c r="M163" s="154"/>
      <c r="N163" s="155"/>
      <c r="O163" s="11"/>
      <c r="P163" s="11"/>
      <c r="Q163" s="11"/>
      <c r="R163" s="11"/>
      <c r="S163" s="11"/>
      <c r="T163" s="11"/>
    </row>
    <row r="164" customFormat="1" customHeight="1" spans="1:20">
      <c r="A164" s="32" t="s">
        <v>146</v>
      </c>
      <c r="B164" s="32"/>
      <c r="C164" s="32"/>
      <c r="D164" s="32"/>
      <c r="E164" s="32"/>
      <c r="F164" s="56">
        <f>SUM(F158:F163)</f>
        <v>106008.81</v>
      </c>
      <c r="G164" s="56"/>
      <c r="H164" s="56"/>
      <c r="I164" s="56"/>
      <c r="J164" s="56"/>
      <c r="K164" s="56"/>
      <c r="L164" s="56"/>
      <c r="M164" s="56"/>
      <c r="N164" s="56"/>
      <c r="O164" s="11"/>
      <c r="P164" s="11"/>
      <c r="Q164" s="11"/>
      <c r="R164" s="11"/>
      <c r="S164" s="11"/>
      <c r="T164" s="11"/>
    </row>
  </sheetData>
  <mergeCells count="17">
    <mergeCell ref="A1:P1"/>
    <mergeCell ref="A24:C24"/>
    <mergeCell ref="E24:M24"/>
    <mergeCell ref="A29:P29"/>
    <mergeCell ref="A34:P34"/>
    <mergeCell ref="A38:P38"/>
    <mergeCell ref="A155:C155"/>
    <mergeCell ref="E155:M155"/>
    <mergeCell ref="F157:N157"/>
    <mergeCell ref="F158:N158"/>
    <mergeCell ref="F159:N159"/>
    <mergeCell ref="F160:N160"/>
    <mergeCell ref="F161:N161"/>
    <mergeCell ref="F162:N162"/>
    <mergeCell ref="F163:N163"/>
    <mergeCell ref="A164:E164"/>
    <mergeCell ref="F164:N164"/>
  </mergeCells>
  <hyperlinks>
    <hyperlink ref="G7" r:id="rId1" display="10.10.0.7"/>
    <hyperlink ref="G8" r:id="rId2" display="10.10.0.8"/>
    <hyperlink ref="G9" r:id="rId3" display="10.10.0.14"/>
    <hyperlink ref="G10" r:id="rId4" display="10.10.0.15"/>
    <hyperlink ref="G11" r:id="rId5" display="10.10.0.16"/>
    <hyperlink ref="G12" r:id="rId6" display="10.10.0.17"/>
    <hyperlink ref="G13" r:id="rId7" display="10.10.0.18"/>
    <hyperlink ref="G14" r:id="rId8" display="10.10.0.19"/>
    <hyperlink ref="G15" r:id="rId9" display="10.10.0.20"/>
    <hyperlink ref="G16" r:id="rId10" display="10.10.0.21"/>
    <hyperlink ref="G17" r:id="rId11" display="10.10.0.22"/>
    <hyperlink ref="G18" r:id="rId12" display="10.10.0.23"/>
    <hyperlink ref="G19" r:id="rId13" display="10.10.0.24"/>
    <hyperlink ref="G20" r:id="rId14" display="10.10.0.25"/>
    <hyperlink ref="G21" r:id="rId15" display="10.10.0.26"/>
    <hyperlink ref="G22" r:id="rId16" display="10.10.0.27"/>
    <hyperlink ref="G23" r:id="rId17" display="10.10.0.28"/>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34"/>
  <sheetViews>
    <sheetView zoomScale="55" zoomScaleNormal="55" topLeftCell="A5" workbookViewId="0">
      <selection activeCell="F32" sqref="F32:N32"/>
    </sheetView>
  </sheetViews>
  <sheetFormatPr defaultColWidth="16.828125" defaultRowHeight="13.85" customHeight="1"/>
  <cols>
    <col min="1" max="1" width="16.1640625" style="97" customWidth="1"/>
    <col min="2" max="2" width="11.1640625" style="97" customWidth="1"/>
    <col min="3" max="3" width="20.1640625" style="97" customWidth="1"/>
    <col min="4" max="4" width="17.1640625" style="97" customWidth="1"/>
    <col min="5" max="5" width="8.1640625" style="97" customWidth="1"/>
    <col min="6" max="6" width="13.3359375" style="97" customWidth="1"/>
    <col min="7" max="7" width="10" style="97" customWidth="1"/>
    <col min="8" max="10" width="12.328125" style="97" customWidth="1"/>
    <col min="11" max="11" width="15.6640625" style="97" customWidth="1"/>
    <col min="12" max="15" width="16.5" style="97" customWidth="1"/>
    <col min="16" max="16" width="23.015625" style="97" customWidth="1"/>
    <col min="17" max="17" width="11.1640625" style="97" customWidth="1"/>
    <col min="18" max="18" width="8.1640625" style="97" customWidth="1"/>
    <col min="19" max="19" width="12.328125" style="97" customWidth="1"/>
    <col min="20" max="20" width="15.6640625" style="97" customWidth="1"/>
    <col min="21" max="21" width="10" style="97" customWidth="1"/>
    <col min="22" max="22" width="8.5" style="97" customWidth="1"/>
    <col min="23" max="23" width="11" style="97" customWidth="1"/>
    <col min="24" max="42" width="16.828125" style="97" customWidth="1"/>
  </cols>
  <sheetData>
    <row r="1" s="97" customFormat="1" ht="34" customHeight="1" spans="1:23">
      <c r="A1" s="99" t="s">
        <v>316</v>
      </c>
      <c r="B1" s="100"/>
      <c r="C1" s="100"/>
      <c r="D1" s="100"/>
      <c r="E1" s="100"/>
      <c r="F1" s="100"/>
      <c r="G1" s="100"/>
      <c r="H1" s="100"/>
      <c r="I1" s="100"/>
      <c r="J1" s="100"/>
      <c r="K1" s="100"/>
      <c r="L1" s="100"/>
      <c r="M1" s="100"/>
      <c r="N1" s="100"/>
      <c r="O1" s="100"/>
      <c r="P1" s="100"/>
      <c r="Q1" s="100"/>
    </row>
    <row r="2" s="97" customFormat="1" ht="34" customHeight="1" spans="1:23">
      <c r="A2" s="25" t="s">
        <v>16</v>
      </c>
      <c r="B2" s="25" t="s">
        <v>17</v>
      </c>
      <c r="C2" s="25" t="s">
        <v>18</v>
      </c>
      <c r="D2" s="25" t="s">
        <v>65</v>
      </c>
      <c r="E2" s="25" t="s">
        <v>46</v>
      </c>
      <c r="F2" s="25" t="s">
        <v>66</v>
      </c>
      <c r="G2" s="25" t="s">
        <v>317</v>
      </c>
      <c r="H2" s="25" t="s">
        <v>67</v>
      </c>
      <c r="I2" s="25" t="s">
        <v>43</v>
      </c>
      <c r="J2" s="25" t="s">
        <v>68</v>
      </c>
      <c r="K2" s="25" t="s">
        <v>69</v>
      </c>
      <c r="L2" s="25" t="s">
        <v>318</v>
      </c>
      <c r="M2" s="25" t="s">
        <v>71</v>
      </c>
      <c r="N2" s="26" t="s">
        <v>72</v>
      </c>
      <c r="O2" s="26" t="s">
        <v>73</v>
      </c>
      <c r="P2" s="25" t="s">
        <v>20</v>
      </c>
      <c r="Q2" s="25" t="s">
        <v>319</v>
      </c>
    </row>
    <row r="3" s="97" customFormat="1" ht="34" customHeight="1" spans="1:23">
      <c r="A3" s="27">
        <v>5</v>
      </c>
      <c r="B3" s="27" t="s">
        <v>25</v>
      </c>
      <c r="C3" s="27" t="s">
        <v>29</v>
      </c>
      <c r="D3" s="27">
        <v>2</v>
      </c>
      <c r="E3" s="27" t="s">
        <v>53</v>
      </c>
      <c r="F3" s="28">
        <v>166.3</v>
      </c>
      <c r="G3" s="29"/>
      <c r="H3" s="229"/>
      <c r="I3" s="30">
        <v>45894</v>
      </c>
      <c r="J3" s="30"/>
      <c r="K3" s="30">
        <f>I3+90</f>
        <v>45984</v>
      </c>
      <c r="L3" s="30">
        <v>46113</v>
      </c>
      <c r="M3" s="30">
        <v>46142</v>
      </c>
      <c r="N3" s="229">
        <v>30</v>
      </c>
      <c r="O3" s="33">
        <f>N3*F3*D3</f>
        <v>9978</v>
      </c>
      <c r="P3" s="40">
        <f>M3-L3+1</f>
        <v>30</v>
      </c>
      <c r="Q3" s="33">
        <f>D3*F3*P3</f>
        <v>9978</v>
      </c>
    </row>
    <row r="4" s="97" customFormat="1" ht="34" customHeight="1" spans="1:23">
      <c r="A4" s="29" t="s">
        <v>126</v>
      </c>
      <c r="B4" s="29"/>
      <c r="C4" s="29"/>
      <c r="D4" s="29">
        <f>SUM(D3)</f>
        <v>2</v>
      </c>
      <c r="E4" s="29" t="s">
        <v>127</v>
      </c>
      <c r="F4" s="29"/>
      <c r="G4" s="29"/>
      <c r="H4" s="29"/>
      <c r="I4" s="29"/>
      <c r="J4" s="29"/>
      <c r="K4" s="29"/>
      <c r="L4" s="29"/>
      <c r="M4" s="29"/>
      <c r="N4" s="32"/>
      <c r="O4" s="33">
        <f>SUM(O3)</f>
        <v>9978</v>
      </c>
      <c r="P4" s="32"/>
      <c r="Q4" s="33">
        <f>SUM(Q3)</f>
        <v>9978</v>
      </c>
    </row>
    <row r="5" s="97" customFormat="1" ht="34" customHeight="1" spans="1:23">
      <c r="A5" s="230"/>
      <c r="B5" s="231"/>
      <c r="C5" s="231"/>
      <c r="D5" s="231"/>
      <c r="E5" s="231"/>
      <c r="F5" s="231"/>
      <c r="G5" s="231"/>
      <c r="H5" s="231"/>
      <c r="I5" s="231"/>
      <c r="J5" s="231"/>
      <c r="K5" s="231"/>
      <c r="L5" s="231"/>
      <c r="M5" s="231"/>
      <c r="N5" s="231"/>
      <c r="O5" s="231"/>
      <c r="P5" s="231"/>
      <c r="Q5" s="231"/>
    </row>
    <row r="6" s="97" customFormat="1" ht="34" customHeight="1" spans="1:23">
      <c r="A6" s="99" t="s">
        <v>320</v>
      </c>
      <c r="B6" s="100"/>
      <c r="C6" s="100"/>
      <c r="D6" s="100"/>
      <c r="E6" s="100"/>
      <c r="F6" s="100"/>
      <c r="G6" s="100"/>
      <c r="H6" s="100"/>
      <c r="I6" s="100"/>
      <c r="J6" s="100"/>
      <c r="K6" s="100"/>
      <c r="L6" s="100"/>
      <c r="M6" s="100"/>
      <c r="N6" s="100"/>
      <c r="O6" s="100"/>
      <c r="P6" s="100"/>
      <c r="Q6" s="100"/>
      <c r="R6" s="101"/>
      <c r="S6" s="101"/>
    </row>
    <row r="7" s="97" customFormat="1" ht="34" customHeight="1" spans="1:23">
      <c r="A7" s="62" t="s">
        <v>16</v>
      </c>
      <c r="B7" s="62" t="s">
        <v>17</v>
      </c>
      <c r="C7" s="62" t="s">
        <v>18</v>
      </c>
      <c r="D7" s="62" t="s">
        <v>65</v>
      </c>
      <c r="E7" s="62" t="s">
        <v>46</v>
      </c>
      <c r="F7" s="62" t="s">
        <v>66</v>
      </c>
      <c r="G7" s="70" t="s">
        <v>317</v>
      </c>
      <c r="H7" s="70" t="s">
        <v>67</v>
      </c>
      <c r="I7" s="35" t="s">
        <v>43</v>
      </c>
      <c r="J7" s="35" t="s">
        <v>68</v>
      </c>
      <c r="K7" s="35" t="s">
        <v>69</v>
      </c>
      <c r="L7" s="35" t="s">
        <v>318</v>
      </c>
      <c r="M7" s="35" t="s">
        <v>71</v>
      </c>
      <c r="N7" s="102" t="s">
        <v>72</v>
      </c>
      <c r="O7" s="102" t="s">
        <v>73</v>
      </c>
      <c r="P7" s="35" t="s">
        <v>20</v>
      </c>
      <c r="Q7" s="35" t="s">
        <v>319</v>
      </c>
      <c r="R7" s="101"/>
      <c r="S7" s="101"/>
    </row>
    <row r="8" s="97" customFormat="1" ht="34" customHeight="1" spans="1:23">
      <c r="A8" s="14">
        <v>50</v>
      </c>
      <c r="B8" s="14" t="s">
        <v>30</v>
      </c>
      <c r="C8" s="14" t="s">
        <v>31</v>
      </c>
      <c r="D8" s="14">
        <v>1</v>
      </c>
      <c r="E8" s="14" t="s">
        <v>53</v>
      </c>
      <c r="F8" s="63">
        <v>22.77</v>
      </c>
      <c r="G8" s="19"/>
      <c r="I8" s="64">
        <v>45894</v>
      </c>
      <c r="J8" s="158">
        <v>46126</v>
      </c>
      <c r="K8" s="64">
        <f>I8+90</f>
        <v>45984</v>
      </c>
      <c r="L8" s="64">
        <v>46113</v>
      </c>
      <c r="M8" s="64">
        <v>46125</v>
      </c>
      <c r="N8" s="97">
        <v>13</v>
      </c>
      <c r="O8" s="105">
        <f>N8*F8*D8</f>
        <v>296.01</v>
      </c>
      <c r="P8" s="107">
        <f>M8-L8+1</f>
        <v>13</v>
      </c>
      <c r="Q8" s="67">
        <f>D8*F8*P8</f>
        <v>296.01</v>
      </c>
      <c r="R8" s="101"/>
      <c r="S8" s="101"/>
    </row>
    <row r="9" s="97" customFormat="1" ht="34" customHeight="1" spans="1:23">
      <c r="A9" s="29" t="s">
        <v>126</v>
      </c>
      <c r="B9" s="29"/>
      <c r="C9" s="29"/>
      <c r="D9" s="29">
        <f>SUM(D8)</f>
        <v>1</v>
      </c>
      <c r="E9" s="29" t="s">
        <v>127</v>
      </c>
      <c r="F9" s="29"/>
      <c r="G9" s="29"/>
      <c r="H9" s="29"/>
      <c r="I9" s="29"/>
      <c r="J9" s="29"/>
      <c r="K9" s="29"/>
      <c r="L9" s="29"/>
      <c r="M9" s="29"/>
      <c r="N9" s="32"/>
      <c r="O9" s="33">
        <f>SUM(O8)</f>
        <v>296.01</v>
      </c>
      <c r="P9" s="32"/>
      <c r="Q9" s="33">
        <f>SUM(Q8)</f>
        <v>296.01</v>
      </c>
    </row>
    <row r="10" s="97" customFormat="1" ht="34" customHeight="1" spans="1:23">
      <c r="R10" s="101"/>
      <c r="S10" s="101"/>
    </row>
    <row r="11" s="97" customFormat="1" ht="34" customHeight="1" spans="1:23">
      <c r="A11" s="232" t="s">
        <v>321</v>
      </c>
      <c r="B11" s="232"/>
      <c r="C11" s="232"/>
      <c r="D11" s="232"/>
      <c r="E11" s="232"/>
      <c r="F11" s="232"/>
      <c r="G11" s="232"/>
      <c r="H11" s="232"/>
      <c r="I11" s="232"/>
      <c r="J11" s="232"/>
      <c r="K11" s="232"/>
      <c r="L11" s="232"/>
      <c r="M11" s="232"/>
      <c r="N11" s="232"/>
      <c r="O11" s="232"/>
      <c r="P11" s="232"/>
      <c r="Q11" s="232"/>
      <c r="R11" s="101"/>
      <c r="S11" s="101"/>
    </row>
    <row r="12" s="97" customFormat="1" ht="34" customHeight="1" spans="1:23">
      <c r="A12" s="25" t="s">
        <v>16</v>
      </c>
      <c r="B12" s="25" t="s">
        <v>17</v>
      </c>
      <c r="C12" s="25" t="s">
        <v>18</v>
      </c>
      <c r="D12" s="25" t="s">
        <v>65</v>
      </c>
      <c r="E12" s="25" t="s">
        <v>46</v>
      </c>
      <c r="F12" s="25" t="s">
        <v>66</v>
      </c>
      <c r="G12" s="25" t="s">
        <v>322</v>
      </c>
      <c r="H12" s="25" t="s">
        <v>67</v>
      </c>
      <c r="I12" s="25" t="s">
        <v>43</v>
      </c>
      <c r="J12" s="25" t="s">
        <v>68</v>
      </c>
      <c r="K12" s="25" t="s">
        <v>69</v>
      </c>
      <c r="L12" s="25" t="s">
        <v>318</v>
      </c>
      <c r="M12" s="25" t="s">
        <v>71</v>
      </c>
      <c r="N12" s="26" t="s">
        <v>72</v>
      </c>
      <c r="O12" s="26" t="s">
        <v>73</v>
      </c>
      <c r="P12" s="25" t="s">
        <v>20</v>
      </c>
      <c r="Q12" s="25" t="s">
        <v>319</v>
      </c>
      <c r="R12" s="101"/>
      <c r="S12" s="101"/>
      <c r="T12" s="101"/>
      <c r="U12" s="101"/>
      <c r="V12" s="101"/>
      <c r="W12" s="101"/>
    </row>
    <row r="13" s="97" customFormat="1" ht="34" customHeight="1" spans="1:23">
      <c r="A13" s="27">
        <v>26</v>
      </c>
      <c r="B13" s="27" t="s">
        <v>21</v>
      </c>
      <c r="C13" s="27" t="s">
        <v>22</v>
      </c>
      <c r="D13" s="29">
        <v>1</v>
      </c>
      <c r="E13" s="27" t="s">
        <v>53</v>
      </c>
      <c r="F13" s="28">
        <v>5.53</v>
      </c>
      <c r="G13" s="37" t="s">
        <v>99</v>
      </c>
      <c r="H13" s="229"/>
      <c r="I13" s="30">
        <v>45894</v>
      </c>
      <c r="J13" s="30"/>
      <c r="K13" s="30">
        <f t="shared" ref="K12:K27" si="0">I13+90</f>
        <v>45984</v>
      </c>
      <c r="L13" s="30">
        <v>46113</v>
      </c>
      <c r="M13" s="30">
        <v>46142</v>
      </c>
      <c r="N13" s="229">
        <v>30</v>
      </c>
      <c r="O13" s="233">
        <f t="shared" ref="O13:O27" si="1">N13*F13*D13</f>
        <v>165.9</v>
      </c>
      <c r="P13" s="40">
        <f t="shared" ref="P13:P27" si="2">M13-L13+1</f>
        <v>30</v>
      </c>
      <c r="Q13" s="33">
        <f t="shared" ref="Q13:Q27" si="3">D13*F13*P13</f>
        <v>165.9</v>
      </c>
      <c r="R13" s="101"/>
      <c r="S13" s="101"/>
      <c r="T13" s="101"/>
      <c r="U13" s="101"/>
      <c r="V13" s="101"/>
      <c r="W13" s="101"/>
    </row>
    <row r="14" s="97" customFormat="1" ht="34" customHeight="1" spans="1:23">
      <c r="A14" s="27">
        <v>26</v>
      </c>
      <c r="B14" s="27" t="s">
        <v>21</v>
      </c>
      <c r="C14" s="27" t="s">
        <v>22</v>
      </c>
      <c r="D14" s="29">
        <v>1</v>
      </c>
      <c r="E14" s="27" t="s">
        <v>53</v>
      </c>
      <c r="F14" s="28">
        <v>5.53</v>
      </c>
      <c r="G14" s="37" t="s">
        <v>97</v>
      </c>
      <c r="H14" s="229"/>
      <c r="I14" s="30">
        <v>45894</v>
      </c>
      <c r="J14" s="30"/>
      <c r="K14" s="30">
        <f t="shared" si="0"/>
        <v>45984</v>
      </c>
      <c r="L14" s="30">
        <v>46113</v>
      </c>
      <c r="M14" s="30">
        <v>46142</v>
      </c>
      <c r="N14" s="229">
        <v>30</v>
      </c>
      <c r="O14" s="233">
        <f t="shared" si="1"/>
        <v>165.9</v>
      </c>
      <c r="P14" s="40">
        <f t="shared" si="2"/>
        <v>30</v>
      </c>
      <c r="Q14" s="33">
        <f t="shared" si="3"/>
        <v>165.9</v>
      </c>
      <c r="R14" s="101"/>
      <c r="S14" s="101"/>
      <c r="T14" s="101"/>
      <c r="U14" s="101"/>
      <c r="V14" s="101"/>
      <c r="W14" s="101"/>
    </row>
    <row r="15" s="97" customFormat="1" ht="34" customHeight="1" spans="1:23">
      <c r="A15" s="27">
        <v>26</v>
      </c>
      <c r="B15" s="27" t="s">
        <v>21</v>
      </c>
      <c r="C15" s="27" t="s">
        <v>22</v>
      </c>
      <c r="D15" s="29">
        <v>1</v>
      </c>
      <c r="E15" s="27" t="s">
        <v>53</v>
      </c>
      <c r="F15" s="28">
        <v>5.53</v>
      </c>
      <c r="G15" s="37" t="s">
        <v>96</v>
      </c>
      <c r="H15" s="229"/>
      <c r="I15" s="30">
        <v>45894</v>
      </c>
      <c r="J15" s="30"/>
      <c r="K15" s="30">
        <f t="shared" si="0"/>
        <v>45984</v>
      </c>
      <c r="L15" s="30">
        <v>46113</v>
      </c>
      <c r="M15" s="30">
        <v>46142</v>
      </c>
      <c r="N15" s="229">
        <v>30</v>
      </c>
      <c r="O15" s="233">
        <f t="shared" si="1"/>
        <v>165.9</v>
      </c>
      <c r="P15" s="40">
        <f t="shared" si="2"/>
        <v>30</v>
      </c>
      <c r="Q15" s="33">
        <f t="shared" si="3"/>
        <v>165.9</v>
      </c>
      <c r="R15" s="101"/>
      <c r="S15" s="101"/>
      <c r="T15" s="101"/>
      <c r="U15" s="101"/>
      <c r="V15" s="101"/>
      <c r="W15" s="101"/>
    </row>
    <row r="16" s="97" customFormat="1" ht="34" customHeight="1" spans="1:23">
      <c r="A16" s="27">
        <v>26</v>
      </c>
      <c r="B16" s="27" t="s">
        <v>21</v>
      </c>
      <c r="C16" s="27" t="s">
        <v>22</v>
      </c>
      <c r="D16" s="29">
        <v>1</v>
      </c>
      <c r="E16" s="27" t="s">
        <v>53</v>
      </c>
      <c r="F16" s="28">
        <v>5.53</v>
      </c>
      <c r="G16" s="37" t="s">
        <v>98</v>
      </c>
      <c r="H16" s="229"/>
      <c r="I16" s="30">
        <v>45894</v>
      </c>
      <c r="J16" s="30"/>
      <c r="K16" s="30">
        <f t="shared" si="0"/>
        <v>45984</v>
      </c>
      <c r="L16" s="30">
        <v>46113</v>
      </c>
      <c r="M16" s="30">
        <v>46142</v>
      </c>
      <c r="N16" s="229">
        <v>30</v>
      </c>
      <c r="O16" s="233">
        <f t="shared" si="1"/>
        <v>165.9</v>
      </c>
      <c r="P16" s="40">
        <f t="shared" si="2"/>
        <v>30</v>
      </c>
      <c r="Q16" s="33">
        <f t="shared" si="3"/>
        <v>165.9</v>
      </c>
      <c r="R16" s="101"/>
      <c r="S16" s="101"/>
      <c r="T16" s="101"/>
      <c r="U16" s="101"/>
      <c r="V16" s="101"/>
      <c r="W16" s="101"/>
    </row>
    <row r="17" s="97" customFormat="1" ht="34" customHeight="1" spans="1:23">
      <c r="A17" s="27">
        <v>26</v>
      </c>
      <c r="B17" s="27" t="s">
        <v>21</v>
      </c>
      <c r="C17" s="27" t="s">
        <v>22</v>
      </c>
      <c r="D17" s="29">
        <v>1</v>
      </c>
      <c r="E17" s="27" t="s">
        <v>53</v>
      </c>
      <c r="F17" s="28">
        <v>5.53</v>
      </c>
      <c r="G17" s="37" t="s">
        <v>95</v>
      </c>
      <c r="H17" s="229"/>
      <c r="I17" s="30">
        <v>45894</v>
      </c>
      <c r="J17" s="30"/>
      <c r="K17" s="30">
        <f t="shared" si="0"/>
        <v>45984</v>
      </c>
      <c r="L17" s="30">
        <v>46113</v>
      </c>
      <c r="M17" s="30">
        <v>46142</v>
      </c>
      <c r="N17" s="229">
        <v>30</v>
      </c>
      <c r="O17" s="233">
        <f t="shared" si="1"/>
        <v>165.9</v>
      </c>
      <c r="P17" s="40">
        <f t="shared" si="2"/>
        <v>30</v>
      </c>
      <c r="Q17" s="33">
        <f t="shared" si="3"/>
        <v>165.9</v>
      </c>
      <c r="R17" s="101"/>
      <c r="S17" s="101"/>
      <c r="T17" s="101"/>
      <c r="U17" s="101"/>
      <c r="V17" s="101"/>
      <c r="W17" s="101"/>
    </row>
    <row r="18" s="97" customFormat="1" ht="34" customHeight="1" spans="1:23">
      <c r="A18" s="27">
        <v>26</v>
      </c>
      <c r="B18" s="27" t="s">
        <v>21</v>
      </c>
      <c r="C18" s="27" t="s">
        <v>22</v>
      </c>
      <c r="D18" s="29">
        <v>1</v>
      </c>
      <c r="E18" s="27" t="s">
        <v>53</v>
      </c>
      <c r="F18" s="28">
        <v>5.53</v>
      </c>
      <c r="G18" s="37" t="s">
        <v>93</v>
      </c>
      <c r="H18" s="229"/>
      <c r="I18" s="30">
        <v>45894</v>
      </c>
      <c r="J18" s="30"/>
      <c r="K18" s="30">
        <f t="shared" si="0"/>
        <v>45984</v>
      </c>
      <c r="L18" s="30">
        <v>46113</v>
      </c>
      <c r="M18" s="30">
        <v>46142</v>
      </c>
      <c r="N18" s="229">
        <v>30</v>
      </c>
      <c r="O18" s="233">
        <f t="shared" si="1"/>
        <v>165.9</v>
      </c>
      <c r="P18" s="40">
        <f t="shared" si="2"/>
        <v>30</v>
      </c>
      <c r="Q18" s="33">
        <f t="shared" si="3"/>
        <v>165.9</v>
      </c>
      <c r="R18" s="101"/>
      <c r="S18" s="101"/>
      <c r="T18" s="101"/>
      <c r="U18" s="101"/>
      <c r="V18" s="101"/>
      <c r="W18" s="101"/>
    </row>
    <row r="19" s="97" customFormat="1" ht="34" customHeight="1" spans="1:23">
      <c r="A19" s="27">
        <v>26</v>
      </c>
      <c r="B19" s="27" t="s">
        <v>21</v>
      </c>
      <c r="C19" s="27" t="s">
        <v>22</v>
      </c>
      <c r="D19" s="29">
        <v>1</v>
      </c>
      <c r="E19" s="27" t="s">
        <v>53</v>
      </c>
      <c r="F19" s="28">
        <v>5.53</v>
      </c>
      <c r="G19" s="37" t="s">
        <v>94</v>
      </c>
      <c r="H19" s="229"/>
      <c r="I19" s="30">
        <v>45894</v>
      </c>
      <c r="J19" s="30"/>
      <c r="K19" s="30">
        <f t="shared" si="0"/>
        <v>45984</v>
      </c>
      <c r="L19" s="30">
        <v>46113</v>
      </c>
      <c r="M19" s="30">
        <v>46142</v>
      </c>
      <c r="N19" s="229">
        <v>30</v>
      </c>
      <c r="O19" s="233">
        <f t="shared" si="1"/>
        <v>165.9</v>
      </c>
      <c r="P19" s="40">
        <f t="shared" si="2"/>
        <v>30</v>
      </c>
      <c r="Q19" s="33">
        <f t="shared" si="3"/>
        <v>165.9</v>
      </c>
      <c r="R19" s="101"/>
      <c r="S19" s="101"/>
      <c r="T19" s="101"/>
      <c r="U19" s="101"/>
      <c r="V19" s="101"/>
      <c r="W19" s="101"/>
    </row>
    <row r="20" s="97" customFormat="1" ht="34" customHeight="1" spans="1:23">
      <c r="A20" s="27">
        <v>26</v>
      </c>
      <c r="B20" s="27" t="s">
        <v>21</v>
      </c>
      <c r="C20" s="27" t="s">
        <v>22</v>
      </c>
      <c r="D20" s="29">
        <v>1</v>
      </c>
      <c r="E20" s="27" t="s">
        <v>53</v>
      </c>
      <c r="F20" s="28">
        <v>5.53</v>
      </c>
      <c r="G20" s="37" t="s">
        <v>91</v>
      </c>
      <c r="H20" s="229"/>
      <c r="I20" s="30">
        <v>45894</v>
      </c>
      <c r="J20" s="30"/>
      <c r="K20" s="30">
        <f t="shared" si="0"/>
        <v>45984</v>
      </c>
      <c r="L20" s="30">
        <v>46113</v>
      </c>
      <c r="M20" s="30">
        <v>46142</v>
      </c>
      <c r="N20" s="229">
        <v>30</v>
      </c>
      <c r="O20" s="233">
        <f t="shared" si="1"/>
        <v>165.9</v>
      </c>
      <c r="P20" s="40">
        <f t="shared" si="2"/>
        <v>30</v>
      </c>
      <c r="Q20" s="33">
        <f t="shared" si="3"/>
        <v>165.9</v>
      </c>
      <c r="R20" s="101"/>
      <c r="S20" s="101"/>
      <c r="T20" s="101"/>
      <c r="U20" s="101"/>
      <c r="V20" s="101"/>
      <c r="W20" s="101"/>
    </row>
    <row r="21" s="97" customFormat="1" ht="34" customHeight="1" spans="1:23">
      <c r="A21" s="27">
        <v>26</v>
      </c>
      <c r="B21" s="27" t="s">
        <v>21</v>
      </c>
      <c r="C21" s="27" t="s">
        <v>22</v>
      </c>
      <c r="D21" s="29">
        <v>1</v>
      </c>
      <c r="E21" s="27" t="s">
        <v>53</v>
      </c>
      <c r="F21" s="28">
        <v>5.53</v>
      </c>
      <c r="G21" s="37" t="s">
        <v>92</v>
      </c>
      <c r="H21" s="229"/>
      <c r="I21" s="30">
        <v>45894</v>
      </c>
      <c r="J21" s="30"/>
      <c r="K21" s="30">
        <f t="shared" si="0"/>
        <v>45984</v>
      </c>
      <c r="L21" s="30">
        <v>46113</v>
      </c>
      <c r="M21" s="30">
        <v>46142</v>
      </c>
      <c r="N21" s="229">
        <v>30</v>
      </c>
      <c r="O21" s="233">
        <f t="shared" si="1"/>
        <v>165.9</v>
      </c>
      <c r="P21" s="40">
        <f t="shared" si="2"/>
        <v>30</v>
      </c>
      <c r="Q21" s="33">
        <f t="shared" si="3"/>
        <v>165.9</v>
      </c>
      <c r="R21" s="101"/>
      <c r="S21" s="101"/>
      <c r="T21" s="101"/>
      <c r="U21" s="101"/>
      <c r="V21" s="101"/>
      <c r="W21" s="101"/>
    </row>
    <row r="22" s="97" customFormat="1" ht="34" customHeight="1" spans="1:23">
      <c r="A22" s="27">
        <v>26</v>
      </c>
      <c r="B22" s="27" t="s">
        <v>21</v>
      </c>
      <c r="C22" s="27" t="s">
        <v>22</v>
      </c>
      <c r="D22" s="29">
        <v>1</v>
      </c>
      <c r="E22" s="27" t="s">
        <v>53</v>
      </c>
      <c r="F22" s="28">
        <v>5.53</v>
      </c>
      <c r="G22" s="37" t="s">
        <v>90</v>
      </c>
      <c r="H22" s="229"/>
      <c r="I22" s="30">
        <v>45894</v>
      </c>
      <c r="J22" s="30"/>
      <c r="K22" s="30">
        <f t="shared" si="0"/>
        <v>45984</v>
      </c>
      <c r="L22" s="30">
        <v>46113</v>
      </c>
      <c r="M22" s="30">
        <v>46142</v>
      </c>
      <c r="N22" s="229">
        <v>30</v>
      </c>
      <c r="O22" s="233">
        <f t="shared" si="1"/>
        <v>165.9</v>
      </c>
      <c r="P22" s="40">
        <f t="shared" si="2"/>
        <v>30</v>
      </c>
      <c r="Q22" s="33">
        <f t="shared" si="3"/>
        <v>165.9</v>
      </c>
      <c r="R22" s="101"/>
      <c r="S22" s="101"/>
      <c r="T22" s="101"/>
      <c r="U22" s="101"/>
      <c r="V22" s="101"/>
      <c r="W22" s="101"/>
    </row>
    <row r="23" s="97" customFormat="1" ht="34" customHeight="1" spans="1:23">
      <c r="A23" s="27">
        <v>26</v>
      </c>
      <c r="B23" s="27" t="s">
        <v>21</v>
      </c>
      <c r="C23" s="27" t="s">
        <v>22</v>
      </c>
      <c r="D23" s="29">
        <v>1</v>
      </c>
      <c r="E23" s="27" t="s">
        <v>53</v>
      </c>
      <c r="F23" s="28">
        <v>5.53</v>
      </c>
      <c r="G23" s="37" t="s">
        <v>89</v>
      </c>
      <c r="H23" s="229"/>
      <c r="I23" s="30">
        <v>45894</v>
      </c>
      <c r="J23" s="30"/>
      <c r="K23" s="30">
        <f t="shared" si="0"/>
        <v>45984</v>
      </c>
      <c r="L23" s="30">
        <v>46113</v>
      </c>
      <c r="M23" s="30">
        <v>46142</v>
      </c>
      <c r="N23" s="229">
        <v>30</v>
      </c>
      <c r="O23" s="233">
        <f t="shared" si="1"/>
        <v>165.9</v>
      </c>
      <c r="P23" s="40">
        <f t="shared" si="2"/>
        <v>30</v>
      </c>
      <c r="Q23" s="33">
        <f t="shared" si="3"/>
        <v>165.9</v>
      </c>
      <c r="R23" s="101"/>
      <c r="S23" s="101"/>
      <c r="T23" s="101"/>
      <c r="U23" s="101"/>
      <c r="V23" s="101"/>
      <c r="W23" s="101"/>
    </row>
    <row r="24" s="97" customFormat="1" ht="34" customHeight="1" spans="1:23">
      <c r="A24" s="27">
        <v>26</v>
      </c>
      <c r="B24" s="27" t="s">
        <v>21</v>
      </c>
      <c r="C24" s="27" t="s">
        <v>22</v>
      </c>
      <c r="D24" s="29">
        <v>1</v>
      </c>
      <c r="E24" s="27" t="s">
        <v>53</v>
      </c>
      <c r="F24" s="28">
        <v>5.53</v>
      </c>
      <c r="G24" s="37" t="s">
        <v>88</v>
      </c>
      <c r="H24" s="229"/>
      <c r="I24" s="30">
        <v>45894</v>
      </c>
      <c r="J24" s="30"/>
      <c r="K24" s="30">
        <f t="shared" si="0"/>
        <v>45984</v>
      </c>
      <c r="L24" s="30">
        <v>46113</v>
      </c>
      <c r="M24" s="30">
        <v>46142</v>
      </c>
      <c r="N24" s="229">
        <v>30</v>
      </c>
      <c r="O24" s="233">
        <f t="shared" si="1"/>
        <v>165.9</v>
      </c>
      <c r="P24" s="40">
        <f t="shared" si="2"/>
        <v>30</v>
      </c>
      <c r="Q24" s="33">
        <f t="shared" si="3"/>
        <v>165.9</v>
      </c>
      <c r="R24" s="101"/>
      <c r="S24" s="101"/>
      <c r="T24" s="101"/>
      <c r="U24" s="101"/>
      <c r="V24" s="101"/>
      <c r="W24" s="101"/>
    </row>
    <row r="25" s="97" customFormat="1" ht="34" customHeight="1" spans="1:23">
      <c r="A25" s="27">
        <v>26</v>
      </c>
      <c r="B25" s="27" t="s">
        <v>21</v>
      </c>
      <c r="C25" s="27" t="s">
        <v>22</v>
      </c>
      <c r="D25" s="29">
        <v>1</v>
      </c>
      <c r="E25" s="27" t="s">
        <v>53</v>
      </c>
      <c r="F25" s="28">
        <v>5.53</v>
      </c>
      <c r="G25" s="37" t="s">
        <v>77</v>
      </c>
      <c r="H25" s="229"/>
      <c r="I25" s="30">
        <v>45894</v>
      </c>
      <c r="J25" s="30"/>
      <c r="K25" s="30">
        <f t="shared" si="0"/>
        <v>45984</v>
      </c>
      <c r="L25" s="30">
        <v>46113</v>
      </c>
      <c r="M25" s="30">
        <v>46142</v>
      </c>
      <c r="N25" s="229">
        <v>30</v>
      </c>
      <c r="O25" s="233">
        <f t="shared" si="1"/>
        <v>165.9</v>
      </c>
      <c r="P25" s="40">
        <f t="shared" si="2"/>
        <v>30</v>
      </c>
      <c r="Q25" s="33">
        <f t="shared" si="3"/>
        <v>165.9</v>
      </c>
      <c r="R25" s="101"/>
      <c r="S25" s="101"/>
      <c r="T25" s="101"/>
      <c r="U25" s="101"/>
      <c r="V25" s="101"/>
      <c r="W25" s="101"/>
    </row>
    <row r="26" s="97" customFormat="1" ht="34" customHeight="1" spans="1:23">
      <c r="A26" s="27">
        <v>26</v>
      </c>
      <c r="B26" s="27" t="s">
        <v>21</v>
      </c>
      <c r="C26" s="27" t="s">
        <v>22</v>
      </c>
      <c r="D26" s="29">
        <v>1</v>
      </c>
      <c r="E26" s="27" t="s">
        <v>53</v>
      </c>
      <c r="F26" s="28">
        <v>5.53</v>
      </c>
      <c r="G26" s="37" t="s">
        <v>87</v>
      </c>
      <c r="H26" s="229"/>
      <c r="I26" s="30">
        <v>45894</v>
      </c>
      <c r="J26" s="30"/>
      <c r="K26" s="30">
        <f t="shared" si="0"/>
        <v>45984</v>
      </c>
      <c r="L26" s="30">
        <v>46113</v>
      </c>
      <c r="M26" s="30">
        <v>46142</v>
      </c>
      <c r="N26" s="229">
        <v>30</v>
      </c>
      <c r="O26" s="233">
        <f t="shared" si="1"/>
        <v>165.9</v>
      </c>
      <c r="P26" s="40">
        <f t="shared" si="2"/>
        <v>30</v>
      </c>
      <c r="Q26" s="33">
        <f t="shared" si="3"/>
        <v>165.9</v>
      </c>
      <c r="R26" s="101"/>
      <c r="S26" s="101"/>
      <c r="T26" s="101"/>
      <c r="U26" s="101"/>
      <c r="V26" s="101"/>
      <c r="W26" s="101"/>
    </row>
    <row r="27" s="97" customFormat="1" ht="34" customHeight="1" spans="1:23">
      <c r="A27" s="27">
        <v>26</v>
      </c>
      <c r="B27" s="27" t="s">
        <v>21</v>
      </c>
      <c r="C27" s="27" t="s">
        <v>22</v>
      </c>
      <c r="D27" s="29">
        <v>1</v>
      </c>
      <c r="E27" s="27" t="s">
        <v>53</v>
      </c>
      <c r="F27" s="28">
        <v>5.53</v>
      </c>
      <c r="G27" s="37" t="s">
        <v>86</v>
      </c>
      <c r="H27" s="229"/>
      <c r="I27" s="30">
        <v>45894</v>
      </c>
      <c r="J27" s="30"/>
      <c r="K27" s="30">
        <f t="shared" si="0"/>
        <v>45984</v>
      </c>
      <c r="L27" s="30">
        <v>46113</v>
      </c>
      <c r="M27" s="30">
        <v>46142</v>
      </c>
      <c r="N27" s="229">
        <v>30</v>
      </c>
      <c r="O27" s="233">
        <f t="shared" si="1"/>
        <v>165.9</v>
      </c>
      <c r="P27" s="40">
        <f t="shared" si="2"/>
        <v>30</v>
      </c>
      <c r="Q27" s="33">
        <f t="shared" si="3"/>
        <v>165.9</v>
      </c>
      <c r="R27" s="101"/>
      <c r="S27" s="101"/>
      <c r="T27" s="101"/>
      <c r="U27" s="101"/>
      <c r="V27" s="101"/>
      <c r="W27" s="101"/>
    </row>
    <row r="28" s="97" customFormat="1" ht="34" customHeight="1" spans="1:23">
      <c r="A28" s="29" t="s">
        <v>126</v>
      </c>
      <c r="B28" s="29"/>
      <c r="C28" s="29"/>
      <c r="D28" s="29">
        <f>SUM(D27)</f>
        <v>1</v>
      </c>
      <c r="E28" s="29" t="s">
        <v>127</v>
      </c>
      <c r="F28" s="29"/>
      <c r="G28" s="29"/>
      <c r="H28" s="29"/>
      <c r="I28" s="29"/>
      <c r="J28" s="29"/>
      <c r="K28" s="29"/>
      <c r="L28" s="29"/>
      <c r="M28" s="29"/>
      <c r="N28" s="32"/>
      <c r="O28" s="33">
        <f>SUM(O13:O27)</f>
        <v>2488.5</v>
      </c>
      <c r="P28" s="32"/>
      <c r="Q28" s="33">
        <f>SUM(Q13:Q27)</f>
        <v>2488.5</v>
      </c>
    </row>
    <row r="29" ht="35" customHeight="1"/>
    <row r="30" ht="40" customHeight="1" spans="1:23">
      <c r="A30" s="48" t="s">
        <v>16</v>
      </c>
      <c r="B30" s="48" t="s">
        <v>17</v>
      </c>
      <c r="C30" s="48" t="s">
        <v>18</v>
      </c>
      <c r="D30" s="48" t="s">
        <v>65</v>
      </c>
      <c r="E30" s="48" t="s">
        <v>46</v>
      </c>
      <c r="F30" s="48" t="s">
        <v>75</v>
      </c>
      <c r="G30" s="48"/>
      <c r="H30" s="48"/>
      <c r="I30" s="48"/>
      <c r="J30" s="48"/>
      <c r="K30" s="48"/>
      <c r="L30" s="48"/>
      <c r="M30" s="48"/>
      <c r="N30" s="48"/>
    </row>
    <row r="31" ht="40" customHeight="1" spans="1:23">
      <c r="A31" s="27">
        <v>50</v>
      </c>
      <c r="B31" s="27" t="s">
        <v>30</v>
      </c>
      <c r="C31" s="27" t="s">
        <v>31</v>
      </c>
      <c r="D31" s="32">
        <v>1</v>
      </c>
      <c r="E31" s="27" t="s">
        <v>53</v>
      </c>
      <c r="F31" s="32">
        <f>Q9</f>
        <v>296.01</v>
      </c>
      <c r="G31" s="32"/>
      <c r="H31" s="32"/>
      <c r="I31" s="32"/>
      <c r="J31" s="32"/>
      <c r="K31" s="32"/>
      <c r="L31" s="32"/>
      <c r="M31" s="32"/>
      <c r="N31" s="32"/>
    </row>
    <row r="32" ht="40" customHeight="1" spans="1:23">
      <c r="A32" s="27">
        <v>26</v>
      </c>
      <c r="B32" s="27" t="s">
        <v>21</v>
      </c>
      <c r="C32" s="27" t="s">
        <v>22</v>
      </c>
      <c r="D32" s="32">
        <v>15</v>
      </c>
      <c r="E32" s="27" t="s">
        <v>53</v>
      </c>
      <c r="F32" s="32">
        <f>SUM(Q13:Q27)</f>
        <v>2488.5</v>
      </c>
      <c r="G32" s="32"/>
      <c r="H32" s="32"/>
      <c r="I32" s="32"/>
      <c r="J32" s="32"/>
      <c r="K32" s="32"/>
      <c r="L32" s="32"/>
      <c r="M32" s="32"/>
      <c r="N32" s="32"/>
    </row>
    <row r="33" ht="40" customHeight="1" spans="1:14">
      <c r="A33" s="27">
        <v>5</v>
      </c>
      <c r="B33" s="27" t="s">
        <v>25</v>
      </c>
      <c r="C33" s="14" t="s">
        <v>29</v>
      </c>
      <c r="D33" s="27">
        <v>2</v>
      </c>
      <c r="E33" s="27" t="s">
        <v>53</v>
      </c>
      <c r="F33" s="55">
        <f>Q4</f>
        <v>9978</v>
      </c>
      <c r="G33" s="154"/>
      <c r="H33" s="154"/>
      <c r="I33" s="154"/>
      <c r="J33" s="154"/>
      <c r="K33" s="154"/>
      <c r="L33" s="154"/>
      <c r="M33" s="154"/>
      <c r="N33" s="155"/>
    </row>
    <row r="34" ht="40" customHeight="1" spans="1:14">
      <c r="A34" s="32" t="s">
        <v>146</v>
      </c>
      <c r="B34" s="32"/>
      <c r="C34" s="32"/>
      <c r="D34" s="32"/>
      <c r="E34" s="32"/>
      <c r="F34" s="56">
        <f>SUM(F31:F33)</f>
        <v>12762.51</v>
      </c>
      <c r="G34" s="56"/>
      <c r="H34" s="56"/>
      <c r="I34" s="56"/>
      <c r="J34" s="56"/>
      <c r="K34" s="56"/>
      <c r="L34" s="56"/>
      <c r="M34" s="56"/>
      <c r="N34" s="56"/>
    </row>
  </sheetData>
  <mergeCells count="17">
    <mergeCell ref="A1:Q1"/>
    <mergeCell ref="A4:C4"/>
    <mergeCell ref="E4:M4"/>
    <mergeCell ref="A5:Q5"/>
    <mergeCell ref="A6:Q6"/>
    <mergeCell ref="A9:C9"/>
    <mergeCell ref="E9:M9"/>
    <mergeCell ref="A10:Q10"/>
    <mergeCell ref="A11:Q11"/>
    <mergeCell ref="A28:C28"/>
    <mergeCell ref="E28:M28"/>
    <mergeCell ref="F30:N30"/>
    <mergeCell ref="F31:N31"/>
    <mergeCell ref="F32:N32"/>
    <mergeCell ref="F33:N33"/>
    <mergeCell ref="A34:E34"/>
    <mergeCell ref="F34:N34"/>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23"/>
  <sheetViews>
    <sheetView zoomScale="70" zoomScaleNormal="70" workbookViewId="0">
      <selection activeCell="F23" sqref="F23:N23"/>
    </sheetView>
  </sheetViews>
  <sheetFormatPr defaultColWidth="9" defaultRowHeight="45" customHeight="1"/>
  <cols>
    <col min="1" max="1" width="12.8359375" style="12" customWidth="1"/>
    <col min="2" max="2" width="17.1640625" style="12" customWidth="1"/>
    <col min="3" max="3" width="16.7421875" style="12" customWidth="1"/>
    <col min="4" max="4" width="8.1640625" style="12" customWidth="1"/>
    <col min="5" max="5" width="14" style="12" customWidth="1"/>
    <col min="6" max="6" width="8.1640625" style="12" customWidth="1"/>
    <col min="7" max="7" width="9.6640625" style="12" customWidth="1"/>
    <col min="8" max="8" width="17" style="12" customWidth="1"/>
    <col min="9" max="13" width="13.6484375" style="12" customWidth="1"/>
    <col min="14" max="15" width="11.5625" style="12" customWidth="1"/>
    <col min="16" max="17" width="11.5625" style="11" customWidth="1"/>
    <col min="18" max="18" width="6" style="11" customWidth="1"/>
    <col min="19" max="19" width="19.1640625" style="11" customWidth="1"/>
    <col min="20" max="20" width="8.1640625" style="11" customWidth="1"/>
    <col min="21" max="21" width="12" style="11" customWidth="1"/>
    <col min="22" max="22" width="13" style="11" customWidth="1"/>
  </cols>
  <sheetData>
    <row r="1" s="97" customFormat="1" customHeight="1" spans="1:17">
      <c r="A1" s="61" t="s">
        <v>323</v>
      </c>
      <c r="B1" s="61"/>
      <c r="C1" s="61"/>
      <c r="D1" s="61"/>
      <c r="E1" s="61"/>
      <c r="F1" s="61"/>
      <c r="G1" s="61"/>
      <c r="H1" s="61"/>
      <c r="I1" s="61"/>
      <c r="J1" s="61"/>
      <c r="K1" s="61"/>
      <c r="L1" s="61"/>
      <c r="M1" s="61"/>
      <c r="N1" s="61"/>
      <c r="O1" s="1"/>
      <c r="P1" s="21"/>
      <c r="Q1" s="21"/>
    </row>
    <row r="2" customHeight="1" spans="1:17">
      <c r="A2" s="68" t="s">
        <v>16</v>
      </c>
      <c r="B2" s="68" t="s">
        <v>17</v>
      </c>
      <c r="C2" s="68" t="s">
        <v>18</v>
      </c>
      <c r="D2" s="68" t="s">
        <v>65</v>
      </c>
      <c r="E2" s="68" t="s">
        <v>46</v>
      </c>
      <c r="F2" s="68" t="s">
        <v>66</v>
      </c>
      <c r="G2" s="68" t="s">
        <v>317</v>
      </c>
      <c r="H2" s="70" t="s">
        <v>67</v>
      </c>
      <c r="I2" s="70" t="s">
        <v>43</v>
      </c>
      <c r="J2" s="70" t="s">
        <v>68</v>
      </c>
      <c r="K2" s="70" t="s">
        <v>69</v>
      </c>
      <c r="L2" s="70" t="s">
        <v>70</v>
      </c>
      <c r="M2" s="70" t="s">
        <v>71</v>
      </c>
      <c r="N2" s="102" t="s">
        <v>72</v>
      </c>
      <c r="O2" s="102" t="s">
        <v>73</v>
      </c>
      <c r="P2" s="70" t="s">
        <v>74</v>
      </c>
      <c r="Q2" s="68" t="s">
        <v>75</v>
      </c>
    </row>
    <row r="3" s="11" customFormat="1" customHeight="1" spans="1:17">
      <c r="A3" s="19">
        <v>35</v>
      </c>
      <c r="B3" s="19" t="s">
        <v>51</v>
      </c>
      <c r="C3" s="19" t="s">
        <v>54</v>
      </c>
      <c r="D3" s="19">
        <v>1</v>
      </c>
      <c r="E3" s="19" t="s">
        <v>53</v>
      </c>
      <c r="F3" s="19">
        <v>1.95</v>
      </c>
      <c r="G3" s="225" t="s">
        <v>324</v>
      </c>
      <c r="H3" s="44"/>
      <c r="I3" s="159">
        <v>46051</v>
      </c>
      <c r="J3" s="159"/>
      <c r="K3" s="159">
        <f>I3+90</f>
        <v>46141</v>
      </c>
      <c r="L3" s="159">
        <f>I3+90</f>
        <v>46141</v>
      </c>
      <c r="M3" s="159">
        <v>46142</v>
      </c>
      <c r="N3" s="44">
        <v>30</v>
      </c>
      <c r="O3" s="44">
        <f>N3*F3*D3</f>
        <v>58.5</v>
      </c>
      <c r="P3" s="19">
        <v>2</v>
      </c>
      <c r="Q3" s="19">
        <f>P3*F3*D3</f>
        <v>3.9</v>
      </c>
    </row>
    <row r="4" s="21" customFormat="1" ht="35" customHeight="1" spans="1:17">
      <c r="A4" s="29" t="s">
        <v>126</v>
      </c>
      <c r="B4" s="29"/>
      <c r="C4" s="29"/>
      <c r="D4" s="29">
        <f>SUM(D3)</f>
        <v>1</v>
      </c>
      <c r="E4" s="29" t="s">
        <v>127</v>
      </c>
      <c r="F4" s="29"/>
      <c r="G4" s="29"/>
      <c r="H4" s="29"/>
      <c r="I4" s="29"/>
      <c r="J4" s="29"/>
      <c r="K4" s="29"/>
      <c r="L4" s="29"/>
      <c r="M4" s="29"/>
      <c r="N4" s="32"/>
      <c r="O4" s="33">
        <f>SUM(O3)</f>
        <v>58.5</v>
      </c>
      <c r="P4" s="32"/>
      <c r="Q4" s="33">
        <f>SUM(Q3)</f>
        <v>3.9</v>
      </c>
    </row>
    <row r="5" s="21" customFormat="1" ht="35" customHeight="1" spans="1:17">
      <c r="A5" s="29"/>
      <c r="B5" s="29"/>
      <c r="C5" s="29"/>
      <c r="D5" s="82"/>
      <c r="E5" s="82"/>
      <c r="F5" s="82"/>
      <c r="G5" s="82"/>
      <c r="H5" s="82"/>
      <c r="I5" s="82"/>
      <c r="J5" s="82"/>
      <c r="K5" s="82"/>
      <c r="L5" s="82"/>
      <c r="M5" s="82"/>
      <c r="O5" s="226"/>
      <c r="Q5" s="226"/>
    </row>
    <row r="6" ht="23" customHeight="1" spans="1:17">
      <c r="A6" s="227">
        <v>46113</v>
      </c>
      <c r="B6" s="228" t="s">
        <v>128</v>
      </c>
      <c r="C6" s="228">
        <v>2</v>
      </c>
    </row>
    <row r="7" ht="23" customHeight="1" spans="1:17">
      <c r="A7" s="228"/>
      <c r="B7" s="228" t="s">
        <v>129</v>
      </c>
      <c r="C7" s="228">
        <v>0</v>
      </c>
    </row>
    <row r="9" customHeight="1" spans="1:17">
      <c r="A9" s="110" t="s">
        <v>325</v>
      </c>
      <c r="B9" s="110"/>
      <c r="C9" s="110"/>
      <c r="D9" s="110"/>
      <c r="E9" s="110"/>
      <c r="F9" s="110"/>
      <c r="G9" s="110"/>
      <c r="H9" s="110"/>
      <c r="I9" s="110"/>
      <c r="J9" s="110"/>
      <c r="K9" s="110"/>
      <c r="L9" s="110"/>
      <c r="M9" s="110"/>
      <c r="N9" s="110"/>
    </row>
    <row r="10" customHeight="1" spans="1:17">
      <c r="A10" s="13" t="s">
        <v>16</v>
      </c>
      <c r="B10" s="13" t="s">
        <v>17</v>
      </c>
      <c r="C10" s="13" t="s">
        <v>18</v>
      </c>
      <c r="D10" s="13" t="s">
        <v>65</v>
      </c>
      <c r="E10" s="13" t="s">
        <v>46</v>
      </c>
      <c r="F10" s="13" t="s">
        <v>66</v>
      </c>
      <c r="G10" s="13" t="s">
        <v>67</v>
      </c>
      <c r="H10" s="70" t="s">
        <v>67</v>
      </c>
      <c r="I10" s="25" t="s">
        <v>43</v>
      </c>
      <c r="J10" s="25" t="s">
        <v>68</v>
      </c>
      <c r="K10" s="25" t="s">
        <v>69</v>
      </c>
      <c r="L10" s="25" t="s">
        <v>318</v>
      </c>
      <c r="M10" s="25" t="s">
        <v>71</v>
      </c>
      <c r="N10" s="102" t="s">
        <v>72</v>
      </c>
      <c r="O10" s="102" t="s">
        <v>73</v>
      </c>
      <c r="P10" s="25" t="s">
        <v>20</v>
      </c>
      <c r="Q10" s="25" t="s">
        <v>319</v>
      </c>
    </row>
    <row r="11" customHeight="1" spans="1:17">
      <c r="A11" s="14">
        <v>50</v>
      </c>
      <c r="B11" s="14" t="s">
        <v>30</v>
      </c>
      <c r="C11" s="14" t="s">
        <v>31</v>
      </c>
      <c r="D11" s="14">
        <v>1</v>
      </c>
      <c r="E11" s="14" t="s">
        <v>53</v>
      </c>
      <c r="F11" s="63">
        <v>22.77</v>
      </c>
      <c r="G11" s="19"/>
      <c r="I11" s="64">
        <v>46016</v>
      </c>
      <c r="J11" s="65">
        <v>46126</v>
      </c>
      <c r="K11" s="159">
        <f>I11+90</f>
        <v>46106</v>
      </c>
      <c r="L11" s="159">
        <v>46113</v>
      </c>
      <c r="M11" s="159">
        <v>46125</v>
      </c>
      <c r="N11" s="12">
        <v>13</v>
      </c>
      <c r="O11" s="67">
        <f>D11*F11*N11</f>
        <v>296.01</v>
      </c>
      <c r="P11" s="19">
        <f>M11-L11+1</f>
        <v>13</v>
      </c>
      <c r="Q11" s="67">
        <f>P11*F11*D11</f>
        <v>296.01</v>
      </c>
    </row>
    <row r="12" s="21" customFormat="1" ht="35" customHeight="1" spans="1:17">
      <c r="A12" s="29" t="s">
        <v>126</v>
      </c>
      <c r="B12" s="29"/>
      <c r="C12" s="29"/>
      <c r="D12" s="29">
        <f>SUM(D11)</f>
        <v>1</v>
      </c>
      <c r="E12" s="29" t="s">
        <v>127</v>
      </c>
      <c r="F12" s="29"/>
      <c r="G12" s="29"/>
      <c r="H12" s="29"/>
      <c r="I12" s="29"/>
      <c r="J12" s="29"/>
      <c r="K12" s="29"/>
      <c r="L12" s="29"/>
      <c r="M12" s="29"/>
      <c r="N12" s="32"/>
      <c r="O12" s="33">
        <f>SUM(O11)</f>
        <v>296.01</v>
      </c>
      <c r="P12" s="32"/>
      <c r="Q12" s="33">
        <f>SUM(Q11)</f>
        <v>296.01</v>
      </c>
    </row>
    <row r="13" customHeight="1" spans="1:17">
      <c r="A13" s="97"/>
      <c r="B13" s="97"/>
      <c r="C13" s="97"/>
      <c r="D13" s="97"/>
      <c r="E13" s="97"/>
      <c r="F13" s="97"/>
      <c r="G13" s="97"/>
      <c r="H13" s="97"/>
      <c r="I13" s="97"/>
      <c r="J13" s="97"/>
      <c r="K13" s="97"/>
      <c r="L13" s="97"/>
      <c r="M13" s="97"/>
      <c r="N13" s="97"/>
    </row>
    <row r="14" customHeight="1" spans="1:17">
      <c r="A14" s="110" t="s">
        <v>326</v>
      </c>
      <c r="B14" s="110"/>
      <c r="C14" s="110"/>
      <c r="D14" s="110"/>
      <c r="E14" s="110"/>
      <c r="F14" s="110"/>
      <c r="G14" s="110"/>
      <c r="H14" s="110"/>
      <c r="I14" s="110"/>
      <c r="J14" s="110"/>
      <c r="K14" s="110"/>
      <c r="L14" s="110"/>
      <c r="M14" s="110"/>
      <c r="N14" s="110"/>
    </row>
    <row r="15" customHeight="1" spans="1:17">
      <c r="A15" s="13" t="s">
        <v>16</v>
      </c>
      <c r="B15" s="13" t="s">
        <v>17</v>
      </c>
      <c r="C15" s="13" t="s">
        <v>18</v>
      </c>
      <c r="D15" s="13" t="s">
        <v>65</v>
      </c>
      <c r="E15" s="13" t="s">
        <v>46</v>
      </c>
      <c r="F15" s="13" t="s">
        <v>66</v>
      </c>
      <c r="G15" s="13" t="s">
        <v>322</v>
      </c>
      <c r="H15" s="70" t="s">
        <v>67</v>
      </c>
      <c r="I15" s="13" t="s">
        <v>43</v>
      </c>
      <c r="J15" s="25" t="s">
        <v>68</v>
      </c>
      <c r="K15" s="25" t="s">
        <v>69</v>
      </c>
      <c r="L15" s="25" t="s">
        <v>318</v>
      </c>
      <c r="M15" s="25" t="s">
        <v>71</v>
      </c>
      <c r="N15" s="102" t="s">
        <v>72</v>
      </c>
      <c r="O15" s="102" t="s">
        <v>73</v>
      </c>
      <c r="P15" s="25" t="s">
        <v>20</v>
      </c>
      <c r="Q15" s="25" t="s">
        <v>319</v>
      </c>
    </row>
    <row r="16" customHeight="1" spans="1:17">
      <c r="A16" s="14">
        <v>26</v>
      </c>
      <c r="B16" s="14" t="s">
        <v>21</v>
      </c>
      <c r="C16" s="14" t="s">
        <v>22</v>
      </c>
      <c r="D16" s="19">
        <v>1</v>
      </c>
      <c r="E16" s="14" t="s">
        <v>53</v>
      </c>
      <c r="F16" s="63">
        <v>5.53</v>
      </c>
      <c r="G16" s="225" t="s">
        <v>324</v>
      </c>
      <c r="I16" s="64">
        <v>46016</v>
      </c>
      <c r="J16" s="64"/>
      <c r="K16" s="159">
        <f>I16+90</f>
        <v>46106</v>
      </c>
      <c r="L16" s="159">
        <v>46113</v>
      </c>
      <c r="M16" s="159">
        <v>46142</v>
      </c>
      <c r="N16" s="12">
        <v>30</v>
      </c>
      <c r="O16" s="67">
        <f>D16*F16*N16</f>
        <v>165.9</v>
      </c>
      <c r="P16" s="19">
        <f>M16-L16</f>
        <v>29</v>
      </c>
      <c r="Q16" s="67">
        <f>P16*F16*D16</f>
        <v>160.37</v>
      </c>
    </row>
    <row r="17" s="21" customFormat="1" ht="35" customHeight="1" spans="1:17">
      <c r="A17" s="29" t="s">
        <v>126</v>
      </c>
      <c r="B17" s="29"/>
      <c r="C17" s="29"/>
      <c r="D17" s="29">
        <f>SUM(D16)</f>
        <v>1</v>
      </c>
      <c r="E17" s="29" t="s">
        <v>127</v>
      </c>
      <c r="F17" s="29"/>
      <c r="G17" s="29"/>
      <c r="H17" s="29"/>
      <c r="I17" s="29"/>
      <c r="J17" s="29"/>
      <c r="K17" s="29"/>
      <c r="L17" s="29"/>
      <c r="M17" s="29"/>
      <c r="N17" s="32"/>
      <c r="O17" s="33">
        <f>SUM(O16)</f>
        <v>165.9</v>
      </c>
      <c r="P17" s="32"/>
      <c r="Q17" s="33">
        <f>SUM(Q16)</f>
        <v>160.37</v>
      </c>
    </row>
    <row r="19" customHeight="1" spans="1:17">
      <c r="A19" s="48" t="s">
        <v>16</v>
      </c>
      <c r="B19" s="48" t="s">
        <v>17</v>
      </c>
      <c r="C19" s="48" t="s">
        <v>18</v>
      </c>
      <c r="D19" s="48" t="s">
        <v>65</v>
      </c>
      <c r="E19" s="48" t="s">
        <v>46</v>
      </c>
      <c r="F19" s="48" t="s">
        <v>75</v>
      </c>
      <c r="G19" s="48"/>
      <c r="H19" s="48"/>
      <c r="I19" s="48"/>
      <c r="J19" s="48"/>
      <c r="K19" s="48"/>
      <c r="L19" s="48"/>
      <c r="M19" s="48"/>
      <c r="N19" s="48"/>
    </row>
    <row r="20" customHeight="1" spans="1:17">
      <c r="A20" s="27">
        <v>50</v>
      </c>
      <c r="B20" s="27" t="s">
        <v>30</v>
      </c>
      <c r="C20" s="27" t="s">
        <v>31</v>
      </c>
      <c r="D20" s="32">
        <v>1</v>
      </c>
      <c r="E20" s="27" t="s">
        <v>53</v>
      </c>
      <c r="F20" s="32">
        <f>Q12</f>
        <v>296.01</v>
      </c>
      <c r="G20" s="32"/>
      <c r="H20" s="32"/>
      <c r="I20" s="32"/>
      <c r="J20" s="32"/>
      <c r="K20" s="32"/>
      <c r="L20" s="32"/>
      <c r="M20" s="32"/>
      <c r="N20" s="32"/>
    </row>
    <row r="21" customHeight="1" spans="1:17">
      <c r="A21" s="27">
        <v>26</v>
      </c>
      <c r="B21" s="27" t="s">
        <v>21</v>
      </c>
      <c r="C21" s="27" t="s">
        <v>22</v>
      </c>
      <c r="D21" s="32">
        <v>1</v>
      </c>
      <c r="E21" s="27" t="s">
        <v>53</v>
      </c>
      <c r="F21" s="32">
        <f>Q17</f>
        <v>160.37</v>
      </c>
      <c r="G21" s="32"/>
      <c r="H21" s="32"/>
      <c r="I21" s="32"/>
      <c r="J21" s="32"/>
      <c r="K21" s="32"/>
      <c r="L21" s="32"/>
      <c r="M21" s="32"/>
      <c r="N21" s="32"/>
    </row>
    <row r="22" customHeight="1" spans="1:17">
      <c r="A22" s="19">
        <v>35</v>
      </c>
      <c r="B22" s="19" t="s">
        <v>51</v>
      </c>
      <c r="C22" s="19" t="s">
        <v>54</v>
      </c>
      <c r="D22" s="19">
        <v>1</v>
      </c>
      <c r="E22" s="19" t="s">
        <v>53</v>
      </c>
      <c r="F22" s="55">
        <f>Q4</f>
        <v>3.9</v>
      </c>
      <c r="G22" s="154"/>
      <c r="H22" s="154"/>
      <c r="I22" s="154"/>
      <c r="J22" s="154"/>
      <c r="K22" s="154"/>
      <c r="L22" s="154"/>
      <c r="M22" s="154"/>
      <c r="N22" s="155"/>
    </row>
    <row r="23" customHeight="1" spans="1:17">
      <c r="A23" s="32" t="s">
        <v>146</v>
      </c>
      <c r="B23" s="32"/>
      <c r="C23" s="32"/>
      <c r="D23" s="32"/>
      <c r="E23" s="32"/>
      <c r="F23" s="56">
        <f>SUM(F20:N22)</f>
        <v>460.28</v>
      </c>
      <c r="G23" s="56"/>
      <c r="H23" s="56"/>
      <c r="I23" s="56"/>
      <c r="J23" s="56"/>
      <c r="K23" s="56"/>
      <c r="L23" s="56"/>
      <c r="M23" s="56"/>
      <c r="N23" s="56"/>
    </row>
  </sheetData>
  <mergeCells count="15">
    <mergeCell ref="A1:N1"/>
    <mergeCell ref="A4:C4"/>
    <mergeCell ref="E4:M4"/>
    <mergeCell ref="A9:N9"/>
    <mergeCell ref="A12:C12"/>
    <mergeCell ref="E12:M12"/>
    <mergeCell ref="A14:N14"/>
    <mergeCell ref="A17:C17"/>
    <mergeCell ref="E17:M17"/>
    <mergeCell ref="F19:N19"/>
    <mergeCell ref="F20:N20"/>
    <mergeCell ref="F21:N21"/>
    <mergeCell ref="F22:N22"/>
    <mergeCell ref="A23:E23"/>
    <mergeCell ref="F23:N23"/>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P335"/>
  <sheetViews>
    <sheetView zoomScale="70" zoomScaleNormal="70" topLeftCell="A187" workbookViewId="0">
      <selection activeCell="F335" sqref="F335:N335"/>
    </sheetView>
  </sheetViews>
  <sheetFormatPr defaultColWidth="17.6640625" defaultRowHeight="16.1"/>
  <cols>
    <col min="1" max="1" width="10.8984375" style="21" customWidth="1"/>
    <col min="2" max="2" width="11.8671875" style="21" customWidth="1"/>
    <col min="3" max="3" width="17.859375" style="21" customWidth="1"/>
    <col min="4" max="4" width="4.4765625" style="44" customWidth="1"/>
    <col min="5" max="5" width="5.5859375" style="44" customWidth="1"/>
    <col min="6" max="6" width="8.59375" style="44" customWidth="1"/>
    <col min="7" max="7" width="16.9921875" style="21" customWidth="1"/>
    <col min="8" max="8" width="12.2890625" style="21" customWidth="1"/>
    <col min="9" max="9" width="11.0546875" style="21" customWidth="1"/>
    <col min="10" max="10" width="12.2890625" style="21" customWidth="1"/>
    <col min="11" max="12" width="14.296875" style="21" customWidth="1"/>
    <col min="13" max="14" width="16.5859375" style="44" customWidth="1"/>
    <col min="15" max="15" width="17.578125" style="44" customWidth="1"/>
    <col min="16" max="16" width="25.5" style="44" customWidth="1"/>
    <col min="17" max="17" width="31.7109375" style="44" customWidth="1"/>
    <col min="18" max="18" width="17.6640625" style="44" customWidth="1"/>
    <col min="19" max="19" width="26.421875" style="44" customWidth="1"/>
    <col min="20" max="42" width="17.6640625" style="44" customWidth="1"/>
    <col min="43" max="16384" width="17.6640625" style="22"/>
  </cols>
  <sheetData>
    <row r="1" s="58" customFormat="1" ht="22.85" spans="1:17">
      <c r="A1" s="43" t="s">
        <v>327</v>
      </c>
      <c r="B1" s="168"/>
      <c r="C1" s="168"/>
      <c r="D1" s="168"/>
      <c r="E1" s="168"/>
      <c r="F1" s="168"/>
      <c r="G1" s="168"/>
      <c r="H1" s="168"/>
      <c r="I1" s="168"/>
      <c r="J1" s="168"/>
      <c r="K1" s="168"/>
      <c r="L1" s="168"/>
      <c r="M1" s="168"/>
      <c r="N1" s="168"/>
      <c r="O1" s="168"/>
      <c r="P1" s="168"/>
    </row>
    <row r="2" s="58" customFormat="1" ht="31.5" spans="1:17">
      <c r="A2" s="43"/>
      <c r="B2" s="62" t="s">
        <v>16</v>
      </c>
      <c r="C2" s="62" t="s">
        <v>17</v>
      </c>
      <c r="D2" s="62" t="s">
        <v>18</v>
      </c>
      <c r="E2" s="62" t="s">
        <v>65</v>
      </c>
      <c r="F2" s="62" t="s">
        <v>46</v>
      </c>
      <c r="G2" s="62" t="s">
        <v>66</v>
      </c>
      <c r="H2" s="62" t="s">
        <v>67</v>
      </c>
      <c r="I2" s="62" t="s">
        <v>43</v>
      </c>
      <c r="J2" s="62" t="s">
        <v>68</v>
      </c>
      <c r="K2" s="35" t="s">
        <v>69</v>
      </c>
      <c r="L2" s="62" t="s">
        <v>328</v>
      </c>
      <c r="M2" s="62" t="s">
        <v>71</v>
      </c>
      <c r="N2" s="36" t="s">
        <v>72</v>
      </c>
      <c r="O2" s="36" t="s">
        <v>73</v>
      </c>
      <c r="P2" s="35" t="s">
        <v>329</v>
      </c>
      <c r="Q2" s="62" t="s">
        <v>75</v>
      </c>
    </row>
    <row r="3" spans="1:17">
      <c r="A3" s="27">
        <v>36</v>
      </c>
      <c r="B3" s="27" t="s">
        <v>51</v>
      </c>
      <c r="C3" s="27" t="s">
        <v>52</v>
      </c>
      <c r="D3" s="27">
        <v>1</v>
      </c>
      <c r="E3" s="27" t="s">
        <v>53</v>
      </c>
      <c r="F3" s="27">
        <v>25.62</v>
      </c>
      <c r="G3" s="29" t="s">
        <v>330</v>
      </c>
      <c r="H3" s="29"/>
      <c r="I3" s="42">
        <v>46045</v>
      </c>
      <c r="J3" s="38"/>
      <c r="K3" s="38">
        <f>I3+90</f>
        <v>46135</v>
      </c>
      <c r="L3" s="169">
        <v>46135</v>
      </c>
      <c r="M3" s="38">
        <v>46142</v>
      </c>
      <c r="N3" s="27">
        <v>30</v>
      </c>
      <c r="O3" s="28">
        <f>N3*F3*D3</f>
        <v>768.6</v>
      </c>
      <c r="P3" s="27">
        <f>M3-L3+1</f>
        <v>8</v>
      </c>
      <c r="Q3" s="28">
        <f>P3*F3*D3</f>
        <v>204.96</v>
      </c>
    </row>
    <row r="4" spans="1:17">
      <c r="A4" s="29"/>
      <c r="B4" s="29"/>
      <c r="C4" s="29"/>
      <c r="D4" s="27"/>
      <c r="E4" s="27"/>
      <c r="F4" s="27"/>
      <c r="G4" s="29" t="s">
        <v>331</v>
      </c>
      <c r="H4" s="29"/>
      <c r="I4" s="42"/>
      <c r="J4" s="38"/>
      <c r="K4" s="38"/>
      <c r="L4" s="169"/>
      <c r="M4" s="38"/>
      <c r="N4" s="27"/>
      <c r="O4" s="28"/>
      <c r="P4" s="27"/>
      <c r="Q4" s="28"/>
    </row>
    <row r="5" spans="1:17">
      <c r="A5" s="29"/>
      <c r="B5" s="29"/>
      <c r="C5" s="29"/>
      <c r="D5" s="27"/>
      <c r="E5" s="27"/>
      <c r="F5" s="27"/>
      <c r="G5" s="29" t="s">
        <v>332</v>
      </c>
      <c r="H5" s="29"/>
      <c r="I5" s="42"/>
      <c r="J5" s="38"/>
      <c r="K5" s="38"/>
      <c r="L5" s="169"/>
      <c r="M5" s="38"/>
      <c r="N5" s="27"/>
      <c r="O5" s="28"/>
      <c r="P5" s="27"/>
      <c r="Q5" s="28"/>
    </row>
    <row r="6" spans="1:17">
      <c r="A6" s="29"/>
      <c r="B6" s="29"/>
      <c r="C6" s="29"/>
      <c r="D6" s="27"/>
      <c r="E6" s="27"/>
      <c r="F6" s="27"/>
      <c r="G6" s="29" t="s">
        <v>333</v>
      </c>
      <c r="H6" s="29"/>
      <c r="I6" s="42"/>
      <c r="J6" s="38"/>
      <c r="K6" s="38"/>
      <c r="L6" s="169"/>
      <c r="M6" s="38"/>
      <c r="N6" s="27"/>
      <c r="O6" s="28"/>
      <c r="P6" s="27"/>
      <c r="Q6" s="28"/>
    </row>
    <row r="7" spans="1:17">
      <c r="A7" s="29"/>
      <c r="B7" s="29"/>
      <c r="C7" s="29"/>
      <c r="D7" s="27"/>
      <c r="E7" s="27"/>
      <c r="F7" s="27"/>
      <c r="G7" s="29" t="s">
        <v>334</v>
      </c>
      <c r="H7" s="29"/>
      <c r="I7" s="42"/>
      <c r="J7" s="38"/>
      <c r="K7" s="38"/>
      <c r="L7" s="169"/>
      <c r="M7" s="38"/>
      <c r="N7" s="27"/>
      <c r="O7" s="28"/>
      <c r="P7" s="27"/>
      <c r="Q7" s="28"/>
    </row>
    <row r="8" spans="1:17">
      <c r="A8" s="29"/>
      <c r="B8" s="29"/>
      <c r="C8" s="29"/>
      <c r="D8" s="27"/>
      <c r="E8" s="27"/>
      <c r="F8" s="27"/>
      <c r="G8" s="29" t="s">
        <v>335</v>
      </c>
      <c r="H8" s="29"/>
      <c r="I8" s="42"/>
      <c r="J8" s="38"/>
      <c r="K8" s="38"/>
      <c r="L8" s="169"/>
      <c r="M8" s="38"/>
      <c r="N8" s="27"/>
      <c r="O8" s="28"/>
      <c r="P8" s="27"/>
      <c r="Q8" s="28"/>
    </row>
    <row r="9" spans="1:17">
      <c r="A9" s="29"/>
      <c r="B9" s="29"/>
      <c r="C9" s="29"/>
      <c r="D9" s="27"/>
      <c r="E9" s="27"/>
      <c r="F9" s="27"/>
      <c r="G9" s="29" t="s">
        <v>336</v>
      </c>
      <c r="H9" s="29"/>
      <c r="I9" s="42"/>
      <c r="J9" s="38"/>
      <c r="K9" s="38"/>
      <c r="L9" s="169"/>
      <c r="M9" s="38"/>
      <c r="N9" s="27"/>
      <c r="O9" s="28"/>
      <c r="P9" s="27"/>
      <c r="Q9" s="28"/>
    </row>
    <row r="10" spans="1:17">
      <c r="A10" s="29"/>
      <c r="B10" s="29"/>
      <c r="C10" s="29"/>
      <c r="D10" s="27"/>
      <c r="E10" s="27"/>
      <c r="F10" s="27"/>
      <c r="G10" s="29" t="s">
        <v>337</v>
      </c>
      <c r="H10" s="29"/>
      <c r="I10" s="42"/>
      <c r="J10" s="38"/>
      <c r="K10" s="38"/>
      <c r="L10" s="169"/>
      <c r="M10" s="38"/>
      <c r="N10" s="27"/>
      <c r="O10" s="28"/>
      <c r="P10" s="27"/>
      <c r="Q10" s="28"/>
    </row>
    <row r="11" spans="1:17">
      <c r="A11" s="29"/>
      <c r="B11" s="29"/>
      <c r="C11" s="29"/>
      <c r="D11" s="27"/>
      <c r="E11" s="27"/>
      <c r="F11" s="27"/>
      <c r="G11" s="29" t="s">
        <v>338</v>
      </c>
      <c r="H11" s="29"/>
      <c r="I11" s="42"/>
      <c r="J11" s="38"/>
      <c r="K11" s="38"/>
      <c r="L11" s="169"/>
      <c r="M11" s="38"/>
      <c r="N11" s="27"/>
      <c r="O11" s="28"/>
      <c r="P11" s="27"/>
      <c r="Q11" s="28"/>
    </row>
    <row r="12" spans="1:17">
      <c r="A12" s="29"/>
      <c r="B12" s="29"/>
      <c r="C12" s="29"/>
      <c r="D12" s="27"/>
      <c r="E12" s="27"/>
      <c r="F12" s="27"/>
      <c r="G12" s="29" t="s">
        <v>339</v>
      </c>
      <c r="H12" s="29"/>
      <c r="I12" s="42"/>
      <c r="J12" s="38"/>
      <c r="K12" s="38"/>
      <c r="L12" s="169"/>
      <c r="M12" s="38"/>
      <c r="N12" s="27"/>
      <c r="O12" s="28"/>
      <c r="P12" s="27"/>
      <c r="Q12" s="28"/>
    </row>
    <row r="13" spans="1:17">
      <c r="A13" s="29"/>
      <c r="B13" s="29"/>
      <c r="C13" s="29"/>
      <c r="D13" s="27"/>
      <c r="E13" s="27"/>
      <c r="F13" s="27"/>
      <c r="G13" s="29" t="s">
        <v>340</v>
      </c>
      <c r="H13" s="29"/>
      <c r="I13" s="42"/>
      <c r="J13" s="38"/>
      <c r="K13" s="38"/>
      <c r="L13" s="169"/>
      <c r="M13" s="38"/>
      <c r="N13" s="27"/>
      <c r="O13" s="28"/>
      <c r="P13" s="27"/>
      <c r="Q13" s="28"/>
    </row>
    <row r="14" spans="1:17">
      <c r="A14" s="29"/>
      <c r="B14" s="29"/>
      <c r="C14" s="29"/>
      <c r="D14" s="27"/>
      <c r="E14" s="27"/>
      <c r="F14" s="27"/>
      <c r="G14" s="29" t="s">
        <v>341</v>
      </c>
      <c r="H14" s="29"/>
      <c r="I14" s="42"/>
      <c r="J14" s="38"/>
      <c r="K14" s="38"/>
      <c r="L14" s="169"/>
      <c r="M14" s="38"/>
      <c r="N14" s="27"/>
      <c r="O14" s="28"/>
      <c r="P14" s="27"/>
      <c r="Q14" s="28"/>
    </row>
    <row r="15" spans="1:17">
      <c r="A15" s="29"/>
      <c r="B15" s="29"/>
      <c r="C15" s="29"/>
      <c r="D15" s="27"/>
      <c r="E15" s="27"/>
      <c r="F15" s="27"/>
      <c r="G15" s="29" t="s">
        <v>342</v>
      </c>
      <c r="H15" s="29"/>
      <c r="I15" s="42"/>
      <c r="J15" s="38"/>
      <c r="K15" s="38"/>
      <c r="L15" s="169"/>
      <c r="M15" s="38"/>
      <c r="N15" s="27"/>
      <c r="O15" s="28"/>
      <c r="P15" s="27"/>
      <c r="Q15" s="28"/>
    </row>
    <row r="16" spans="1:17">
      <c r="A16" s="29"/>
      <c r="B16" s="29"/>
      <c r="C16" s="29"/>
      <c r="D16" s="27"/>
      <c r="E16" s="27"/>
      <c r="F16" s="27"/>
      <c r="G16" s="29" t="s">
        <v>343</v>
      </c>
      <c r="H16" s="29"/>
      <c r="I16" s="42"/>
      <c r="J16" s="38"/>
      <c r="K16" s="38"/>
      <c r="L16" s="169"/>
      <c r="M16" s="38"/>
      <c r="N16" s="27"/>
      <c r="O16" s="28"/>
      <c r="P16" s="27"/>
      <c r="Q16" s="28"/>
    </row>
    <row r="17" spans="1:17">
      <c r="A17" s="29"/>
      <c r="B17" s="29"/>
      <c r="C17" s="29"/>
      <c r="D17" s="27"/>
      <c r="E17" s="27"/>
      <c r="F17" s="27"/>
      <c r="G17" s="29" t="s">
        <v>344</v>
      </c>
      <c r="H17" s="29"/>
      <c r="I17" s="42"/>
      <c r="J17" s="38"/>
      <c r="K17" s="38"/>
      <c r="L17" s="169"/>
      <c r="M17" s="38"/>
      <c r="N17" s="27"/>
      <c r="O17" s="28"/>
      <c r="P17" s="27"/>
      <c r="Q17" s="28"/>
    </row>
    <row r="18" spans="1:17">
      <c r="A18" s="29"/>
      <c r="B18" s="29"/>
      <c r="C18" s="29"/>
      <c r="D18" s="27"/>
      <c r="E18" s="27"/>
      <c r="F18" s="27"/>
      <c r="G18" s="29" t="s">
        <v>345</v>
      </c>
      <c r="H18" s="29"/>
      <c r="I18" s="42"/>
      <c r="J18" s="38"/>
      <c r="K18" s="38"/>
      <c r="L18" s="169"/>
      <c r="M18" s="38"/>
      <c r="N18" s="27"/>
      <c r="O18" s="28"/>
      <c r="P18" s="27"/>
      <c r="Q18" s="28"/>
    </row>
    <row r="19" spans="1:17">
      <c r="A19" s="29"/>
      <c r="B19" s="29"/>
      <c r="C19" s="29"/>
      <c r="D19" s="27"/>
      <c r="E19" s="27"/>
      <c r="F19" s="27"/>
      <c r="G19" s="29" t="s">
        <v>346</v>
      </c>
      <c r="H19" s="29"/>
      <c r="I19" s="42"/>
      <c r="J19" s="38"/>
      <c r="K19" s="38"/>
      <c r="L19" s="169"/>
      <c r="M19" s="38"/>
      <c r="N19" s="27"/>
      <c r="O19" s="28"/>
      <c r="P19" s="27"/>
      <c r="Q19" s="28"/>
    </row>
    <row r="20" spans="1:17">
      <c r="A20" s="29"/>
      <c r="B20" s="29"/>
      <c r="C20" s="29"/>
      <c r="D20" s="27"/>
      <c r="E20" s="27"/>
      <c r="F20" s="27"/>
      <c r="G20" s="29" t="s">
        <v>347</v>
      </c>
      <c r="H20" s="29"/>
      <c r="I20" s="42"/>
      <c r="J20" s="38"/>
      <c r="K20" s="38"/>
      <c r="L20" s="169"/>
      <c r="M20" s="38"/>
      <c r="N20" s="27"/>
      <c r="O20" s="28"/>
      <c r="P20" s="27"/>
      <c r="Q20" s="28"/>
    </row>
    <row r="21" spans="1:17">
      <c r="A21" s="29"/>
      <c r="B21" s="29"/>
      <c r="C21" s="29"/>
      <c r="D21" s="27"/>
      <c r="E21" s="27"/>
      <c r="F21" s="27"/>
      <c r="G21" s="29" t="s">
        <v>348</v>
      </c>
      <c r="H21" s="29"/>
      <c r="I21" s="42"/>
      <c r="J21" s="38"/>
      <c r="K21" s="38"/>
      <c r="L21" s="169"/>
      <c r="M21" s="38"/>
      <c r="N21" s="27"/>
      <c r="O21" s="28"/>
      <c r="P21" s="27"/>
      <c r="Q21" s="28"/>
    </row>
    <row r="22" spans="1:17">
      <c r="A22" s="29"/>
      <c r="B22" s="29"/>
      <c r="C22" s="29"/>
      <c r="D22" s="27"/>
      <c r="E22" s="27"/>
      <c r="F22" s="27"/>
      <c r="G22" s="29" t="s">
        <v>349</v>
      </c>
      <c r="H22" s="29"/>
      <c r="I22" s="42"/>
      <c r="J22" s="38"/>
      <c r="K22" s="38"/>
      <c r="L22" s="169"/>
      <c r="M22" s="38"/>
      <c r="N22" s="27"/>
      <c r="O22" s="28"/>
      <c r="P22" s="27"/>
      <c r="Q22" s="28"/>
    </row>
    <row r="23" spans="1:17">
      <c r="A23" s="27">
        <v>36</v>
      </c>
      <c r="B23" s="27" t="s">
        <v>51</v>
      </c>
      <c r="C23" s="27" t="s">
        <v>52</v>
      </c>
      <c r="D23" s="27">
        <v>1</v>
      </c>
      <c r="E23" s="27" t="s">
        <v>53</v>
      </c>
      <c r="F23" s="27">
        <v>25.62</v>
      </c>
      <c r="G23" s="29" t="s">
        <v>350</v>
      </c>
      <c r="H23" s="29"/>
      <c r="I23" s="42">
        <v>46045</v>
      </c>
      <c r="J23" s="38"/>
      <c r="K23" s="38">
        <f>I23+90</f>
        <v>46135</v>
      </c>
      <c r="L23" s="169">
        <v>46135</v>
      </c>
      <c r="M23" s="38">
        <v>46142</v>
      </c>
      <c r="N23" s="27">
        <v>30</v>
      </c>
      <c r="O23" s="28">
        <f>N23*F23*D23</f>
        <v>768.6</v>
      </c>
      <c r="P23" s="27">
        <v>8</v>
      </c>
      <c r="Q23" s="28">
        <f>P23*F23*D23</f>
        <v>204.96</v>
      </c>
    </row>
    <row r="24" spans="1:17">
      <c r="A24" s="27"/>
      <c r="B24" s="27"/>
      <c r="C24" s="27"/>
      <c r="D24" s="27"/>
      <c r="E24" s="27"/>
      <c r="F24" s="27"/>
      <c r="G24" s="29" t="s">
        <v>351</v>
      </c>
      <c r="H24" s="29"/>
      <c r="I24" s="42"/>
      <c r="J24" s="38"/>
      <c r="K24" s="38"/>
      <c r="L24" s="169"/>
      <c r="M24" s="38"/>
      <c r="N24" s="27"/>
      <c r="O24" s="28"/>
      <c r="P24" s="27"/>
      <c r="Q24" s="28"/>
    </row>
    <row r="25" spans="1:17">
      <c r="A25" s="27"/>
      <c r="B25" s="27"/>
      <c r="C25" s="27"/>
      <c r="D25" s="27"/>
      <c r="E25" s="27"/>
      <c r="F25" s="27"/>
      <c r="G25" s="29" t="s">
        <v>352</v>
      </c>
      <c r="H25" s="29"/>
      <c r="I25" s="42"/>
      <c r="J25" s="38"/>
      <c r="K25" s="38"/>
      <c r="L25" s="169"/>
      <c r="M25" s="38"/>
      <c r="N25" s="27"/>
      <c r="O25" s="28"/>
      <c r="P25" s="27"/>
      <c r="Q25" s="28"/>
    </row>
    <row r="26" spans="1:17">
      <c r="A26" s="27"/>
      <c r="B26" s="27"/>
      <c r="C26" s="27"/>
      <c r="D26" s="27"/>
      <c r="E26" s="27"/>
      <c r="F26" s="27"/>
      <c r="G26" s="29" t="s">
        <v>353</v>
      </c>
      <c r="H26" s="29"/>
      <c r="I26" s="42"/>
      <c r="J26" s="38"/>
      <c r="K26" s="38"/>
      <c r="L26" s="169"/>
      <c r="M26" s="38"/>
      <c r="N26" s="27"/>
      <c r="O26" s="28"/>
      <c r="P26" s="27"/>
      <c r="Q26" s="28"/>
    </row>
    <row r="27" spans="1:17">
      <c r="A27" s="27"/>
      <c r="B27" s="27"/>
      <c r="C27" s="27"/>
      <c r="D27" s="27"/>
      <c r="E27" s="27"/>
      <c r="F27" s="27"/>
      <c r="G27" s="29" t="s">
        <v>354</v>
      </c>
      <c r="H27" s="29"/>
      <c r="I27" s="42"/>
      <c r="J27" s="38"/>
      <c r="K27" s="38"/>
      <c r="L27" s="169"/>
      <c r="M27" s="38"/>
      <c r="N27" s="27"/>
      <c r="O27" s="28"/>
      <c r="P27" s="27"/>
      <c r="Q27" s="28"/>
    </row>
    <row r="28" spans="1:17">
      <c r="A28" s="27"/>
      <c r="B28" s="27"/>
      <c r="C28" s="27"/>
      <c r="D28" s="27"/>
      <c r="E28" s="27"/>
      <c r="F28" s="27"/>
      <c r="G28" s="29" t="s">
        <v>355</v>
      </c>
      <c r="H28" s="29"/>
      <c r="I28" s="42"/>
      <c r="J28" s="38"/>
      <c r="K28" s="38"/>
      <c r="L28" s="169"/>
      <c r="M28" s="38"/>
      <c r="N28" s="27"/>
      <c r="O28" s="28"/>
      <c r="P28" s="27"/>
      <c r="Q28" s="28"/>
    </row>
    <row r="29" spans="1:17">
      <c r="A29" s="27"/>
      <c r="B29" s="27"/>
      <c r="C29" s="27"/>
      <c r="D29" s="27"/>
      <c r="E29" s="27"/>
      <c r="F29" s="27"/>
      <c r="G29" s="29" t="s">
        <v>356</v>
      </c>
      <c r="H29" s="29"/>
      <c r="I29" s="42"/>
      <c r="J29" s="38"/>
      <c r="K29" s="38"/>
      <c r="L29" s="169"/>
      <c r="M29" s="38"/>
      <c r="N29" s="27"/>
      <c r="O29" s="28"/>
      <c r="P29" s="27"/>
      <c r="Q29" s="28"/>
    </row>
    <row r="30" spans="1:17">
      <c r="A30" s="27"/>
      <c r="B30" s="27"/>
      <c r="C30" s="27"/>
      <c r="D30" s="27"/>
      <c r="E30" s="27"/>
      <c r="F30" s="27"/>
      <c r="G30" s="29" t="s">
        <v>357</v>
      </c>
      <c r="H30" s="29"/>
      <c r="I30" s="42"/>
      <c r="J30" s="38"/>
      <c r="K30" s="38"/>
      <c r="L30" s="169"/>
      <c r="M30" s="38"/>
      <c r="N30" s="27"/>
      <c r="O30" s="28"/>
      <c r="P30" s="27"/>
      <c r="Q30" s="28"/>
    </row>
    <row r="31" spans="1:17">
      <c r="A31" s="27"/>
      <c r="B31" s="27"/>
      <c r="C31" s="27"/>
      <c r="D31" s="27"/>
      <c r="E31" s="27"/>
      <c r="F31" s="27"/>
      <c r="G31" s="29" t="s">
        <v>358</v>
      </c>
      <c r="H31" s="29"/>
      <c r="I31" s="42"/>
      <c r="J31" s="38"/>
      <c r="K31" s="38"/>
      <c r="L31" s="169"/>
      <c r="M31" s="38"/>
      <c r="N31" s="27"/>
      <c r="O31" s="28"/>
      <c r="P31" s="27"/>
      <c r="Q31" s="28"/>
    </row>
    <row r="32" spans="1:17">
      <c r="A32" s="27"/>
      <c r="B32" s="27"/>
      <c r="C32" s="27"/>
      <c r="D32" s="27"/>
      <c r="E32" s="27"/>
      <c r="F32" s="27"/>
      <c r="G32" s="29" t="s">
        <v>359</v>
      </c>
      <c r="H32" s="29"/>
      <c r="I32" s="42"/>
      <c r="J32" s="38"/>
      <c r="K32" s="38"/>
      <c r="L32" s="169"/>
      <c r="M32" s="38"/>
      <c r="N32" s="27"/>
      <c r="O32" s="28"/>
      <c r="P32" s="27"/>
      <c r="Q32" s="28"/>
    </row>
    <row r="33" spans="1:17">
      <c r="A33" s="27"/>
      <c r="B33" s="27"/>
      <c r="C33" s="27"/>
      <c r="D33" s="27"/>
      <c r="E33" s="27"/>
      <c r="F33" s="27"/>
      <c r="G33" s="29" t="s">
        <v>360</v>
      </c>
      <c r="H33" s="29"/>
      <c r="I33" s="42"/>
      <c r="J33" s="38"/>
      <c r="K33" s="38"/>
      <c r="L33" s="169"/>
      <c r="M33" s="38"/>
      <c r="N33" s="27"/>
      <c r="O33" s="28"/>
      <c r="P33" s="27"/>
      <c r="Q33" s="28"/>
    </row>
    <row r="34" spans="1:17">
      <c r="A34" s="27"/>
      <c r="B34" s="27"/>
      <c r="C34" s="27"/>
      <c r="D34" s="27"/>
      <c r="E34" s="27"/>
      <c r="F34" s="27"/>
      <c r="G34" s="29" t="s">
        <v>361</v>
      </c>
      <c r="H34" s="29"/>
      <c r="I34" s="42"/>
      <c r="J34" s="38"/>
      <c r="K34" s="38"/>
      <c r="L34" s="169"/>
      <c r="M34" s="38"/>
      <c r="N34" s="27"/>
      <c r="O34" s="28"/>
      <c r="P34" s="27"/>
      <c r="Q34" s="28"/>
    </row>
    <row r="35" spans="1:17">
      <c r="A35" s="27"/>
      <c r="B35" s="27"/>
      <c r="C35" s="27"/>
      <c r="D35" s="27"/>
      <c r="E35" s="27"/>
      <c r="F35" s="27"/>
      <c r="G35" s="29" t="s">
        <v>362</v>
      </c>
      <c r="H35" s="29"/>
      <c r="I35" s="42"/>
      <c r="J35" s="38"/>
      <c r="K35" s="38"/>
      <c r="L35" s="169"/>
      <c r="M35" s="38"/>
      <c r="N35" s="27"/>
      <c r="O35" s="28"/>
      <c r="P35" s="27"/>
      <c r="Q35" s="28"/>
    </row>
    <row r="36" spans="1:17">
      <c r="A36" s="27"/>
      <c r="B36" s="27"/>
      <c r="C36" s="27"/>
      <c r="D36" s="27"/>
      <c r="E36" s="27"/>
      <c r="F36" s="27"/>
      <c r="G36" s="29" t="s">
        <v>363</v>
      </c>
      <c r="H36" s="29"/>
      <c r="I36" s="42"/>
      <c r="J36" s="38"/>
      <c r="K36" s="38"/>
      <c r="L36" s="169"/>
      <c r="M36" s="38"/>
      <c r="N36" s="27"/>
      <c r="O36" s="28"/>
      <c r="P36" s="27"/>
      <c r="Q36" s="28"/>
    </row>
    <row r="37" spans="1:17">
      <c r="A37" s="27"/>
      <c r="B37" s="27"/>
      <c r="C37" s="27"/>
      <c r="D37" s="27"/>
      <c r="E37" s="27"/>
      <c r="F37" s="27"/>
      <c r="G37" s="29" t="s">
        <v>364</v>
      </c>
      <c r="H37" s="29"/>
      <c r="I37" s="42"/>
      <c r="J37" s="38"/>
      <c r="K37" s="38"/>
      <c r="L37" s="169"/>
      <c r="M37" s="38"/>
      <c r="N37" s="27"/>
      <c r="O37" s="28"/>
      <c r="P37" s="27"/>
      <c r="Q37" s="28"/>
    </row>
    <row r="38" spans="1:17">
      <c r="A38" s="27"/>
      <c r="B38" s="27"/>
      <c r="C38" s="27"/>
      <c r="D38" s="27"/>
      <c r="E38" s="27"/>
      <c r="F38" s="27"/>
      <c r="G38" s="29" t="s">
        <v>365</v>
      </c>
      <c r="H38" s="29"/>
      <c r="I38" s="42"/>
      <c r="J38" s="38"/>
      <c r="K38" s="38"/>
      <c r="L38" s="169"/>
      <c r="M38" s="38"/>
      <c r="N38" s="27"/>
      <c r="O38" s="28"/>
      <c r="P38" s="27"/>
      <c r="Q38" s="28"/>
    </row>
    <row r="39" spans="1:17">
      <c r="A39" s="27"/>
      <c r="B39" s="27"/>
      <c r="C39" s="27"/>
      <c r="D39" s="27"/>
      <c r="E39" s="27"/>
      <c r="F39" s="27"/>
      <c r="G39" s="29" t="s">
        <v>366</v>
      </c>
      <c r="H39" s="29"/>
      <c r="I39" s="42"/>
      <c r="J39" s="38"/>
      <c r="K39" s="38"/>
      <c r="L39" s="169"/>
      <c r="M39" s="38"/>
      <c r="N39" s="27"/>
      <c r="O39" s="28"/>
      <c r="P39" s="27"/>
      <c r="Q39" s="28"/>
    </row>
    <row r="40" spans="1:17">
      <c r="A40" s="27"/>
      <c r="B40" s="27"/>
      <c r="C40" s="27"/>
      <c r="D40" s="27"/>
      <c r="E40" s="27"/>
      <c r="F40" s="27"/>
      <c r="G40" s="29" t="s">
        <v>367</v>
      </c>
      <c r="H40" s="29"/>
      <c r="I40" s="42"/>
      <c r="J40" s="38"/>
      <c r="K40" s="38"/>
      <c r="L40" s="169"/>
      <c r="M40" s="38"/>
      <c r="N40" s="27"/>
      <c r="O40" s="28"/>
      <c r="P40" s="27"/>
      <c r="Q40" s="28"/>
    </row>
    <row r="41" spans="1:17">
      <c r="A41" s="27"/>
      <c r="B41" s="27"/>
      <c r="C41" s="27"/>
      <c r="D41" s="27"/>
      <c r="E41" s="27"/>
      <c r="F41" s="27"/>
      <c r="G41" s="29" t="s">
        <v>368</v>
      </c>
      <c r="H41" s="29"/>
      <c r="I41" s="42"/>
      <c r="J41" s="38"/>
      <c r="K41" s="38"/>
      <c r="L41" s="169"/>
      <c r="M41" s="38"/>
      <c r="N41" s="27"/>
      <c r="O41" s="28"/>
      <c r="P41" s="27"/>
      <c r="Q41" s="28"/>
    </row>
    <row r="42" spans="1:17">
      <c r="A42" s="27"/>
      <c r="B42" s="27"/>
      <c r="C42" s="27"/>
      <c r="D42" s="27"/>
      <c r="E42" s="27"/>
      <c r="F42" s="27"/>
      <c r="G42" s="29" t="s">
        <v>369</v>
      </c>
      <c r="H42" s="29"/>
      <c r="I42" s="42"/>
      <c r="J42" s="38"/>
      <c r="K42" s="38"/>
      <c r="L42" s="169"/>
      <c r="M42" s="38"/>
      <c r="N42" s="27"/>
      <c r="O42" s="28"/>
      <c r="P42" s="27"/>
      <c r="Q42" s="28"/>
    </row>
    <row r="43" spans="1:17">
      <c r="A43" s="27">
        <v>35</v>
      </c>
      <c r="B43" s="27" t="s">
        <v>51</v>
      </c>
      <c r="C43" s="27" t="s">
        <v>54</v>
      </c>
      <c r="D43" s="27">
        <v>1</v>
      </c>
      <c r="E43" s="27" t="s">
        <v>53</v>
      </c>
      <c r="F43" s="27">
        <v>1.95</v>
      </c>
      <c r="G43" s="29" t="s">
        <v>370</v>
      </c>
      <c r="H43" s="29"/>
      <c r="I43" s="42">
        <v>46045</v>
      </c>
      <c r="J43" s="38"/>
      <c r="K43" s="38">
        <f t="shared" ref="K43:K58" si="0">I43+90</f>
        <v>46135</v>
      </c>
      <c r="L43" s="169">
        <v>46135</v>
      </c>
      <c r="M43" s="38">
        <v>46142</v>
      </c>
      <c r="N43" s="164">
        <v>30</v>
      </c>
      <c r="O43" s="164">
        <f t="shared" ref="O43:O58" si="1">N43*F43*D43</f>
        <v>58.5</v>
      </c>
      <c r="P43" s="29">
        <f>M43-L43+1</f>
        <v>8</v>
      </c>
      <c r="Q43" s="28">
        <f>P43*F43*D43</f>
        <v>15.6</v>
      </c>
    </row>
    <row r="44" spans="1:17">
      <c r="A44" s="27">
        <v>35</v>
      </c>
      <c r="B44" s="27" t="s">
        <v>51</v>
      </c>
      <c r="C44" s="27" t="s">
        <v>54</v>
      </c>
      <c r="D44" s="27">
        <v>1</v>
      </c>
      <c r="E44" s="27" t="s">
        <v>53</v>
      </c>
      <c r="F44" s="27">
        <v>1.95</v>
      </c>
      <c r="G44" s="29" t="s">
        <v>371</v>
      </c>
      <c r="H44" s="29"/>
      <c r="I44" s="42">
        <v>46045</v>
      </c>
      <c r="J44" s="38"/>
      <c r="K44" s="38">
        <f t="shared" si="0"/>
        <v>46135</v>
      </c>
      <c r="L44" s="169">
        <v>46135</v>
      </c>
      <c r="M44" s="38">
        <v>46142</v>
      </c>
      <c r="N44" s="164">
        <v>30</v>
      </c>
      <c r="O44" s="164">
        <f t="shared" si="1"/>
        <v>58.5</v>
      </c>
      <c r="P44" s="29">
        <f t="shared" ref="P44:P51" si="2">M44-L44+1</f>
        <v>8</v>
      </c>
      <c r="Q44" s="28">
        <f t="shared" ref="Q44:Q57" si="3">P44*F44*D44</f>
        <v>15.6</v>
      </c>
    </row>
    <row r="45" spans="1:17">
      <c r="A45" s="27">
        <v>35</v>
      </c>
      <c r="B45" s="27" t="s">
        <v>51</v>
      </c>
      <c r="C45" s="27" t="s">
        <v>54</v>
      </c>
      <c r="D45" s="27">
        <v>1</v>
      </c>
      <c r="E45" s="27" t="s">
        <v>53</v>
      </c>
      <c r="F45" s="27">
        <v>1.95</v>
      </c>
      <c r="G45" s="29" t="s">
        <v>372</v>
      </c>
      <c r="H45" s="29"/>
      <c r="I45" s="42">
        <v>46045</v>
      </c>
      <c r="J45" s="38"/>
      <c r="K45" s="38">
        <f t="shared" si="0"/>
        <v>46135</v>
      </c>
      <c r="L45" s="169">
        <v>46135</v>
      </c>
      <c r="M45" s="38">
        <v>46142</v>
      </c>
      <c r="N45" s="164">
        <v>30</v>
      </c>
      <c r="O45" s="164">
        <f t="shared" si="1"/>
        <v>58.5</v>
      </c>
      <c r="P45" s="29">
        <f t="shared" si="2"/>
        <v>8</v>
      </c>
      <c r="Q45" s="28">
        <f t="shared" si="3"/>
        <v>15.6</v>
      </c>
    </row>
    <row r="46" spans="1:17">
      <c r="A46" s="27">
        <v>35</v>
      </c>
      <c r="B46" s="27" t="s">
        <v>51</v>
      </c>
      <c r="C46" s="27" t="s">
        <v>54</v>
      </c>
      <c r="D46" s="27">
        <v>1</v>
      </c>
      <c r="E46" s="27" t="s">
        <v>53</v>
      </c>
      <c r="F46" s="27">
        <v>1.95</v>
      </c>
      <c r="G46" s="29" t="s">
        <v>373</v>
      </c>
      <c r="H46" s="29"/>
      <c r="I46" s="42">
        <v>46045</v>
      </c>
      <c r="J46" s="38"/>
      <c r="K46" s="38">
        <f t="shared" si="0"/>
        <v>46135</v>
      </c>
      <c r="L46" s="169">
        <v>46135</v>
      </c>
      <c r="M46" s="38">
        <v>46142</v>
      </c>
      <c r="N46" s="164">
        <v>30</v>
      </c>
      <c r="O46" s="164">
        <f t="shared" si="1"/>
        <v>58.5</v>
      </c>
      <c r="P46" s="29">
        <f t="shared" si="2"/>
        <v>8</v>
      </c>
      <c r="Q46" s="28">
        <f t="shared" si="3"/>
        <v>15.6</v>
      </c>
    </row>
    <row r="47" spans="1:17">
      <c r="A47" s="27">
        <v>35</v>
      </c>
      <c r="B47" s="27" t="s">
        <v>51</v>
      </c>
      <c r="C47" s="27" t="s">
        <v>54</v>
      </c>
      <c r="D47" s="27">
        <v>1</v>
      </c>
      <c r="E47" s="27" t="s">
        <v>53</v>
      </c>
      <c r="F47" s="27">
        <v>1.95</v>
      </c>
      <c r="G47" s="29" t="s">
        <v>374</v>
      </c>
      <c r="H47" s="29"/>
      <c r="I47" s="42">
        <v>46045</v>
      </c>
      <c r="J47" s="38"/>
      <c r="K47" s="38">
        <f t="shared" si="0"/>
        <v>46135</v>
      </c>
      <c r="L47" s="169">
        <v>46135</v>
      </c>
      <c r="M47" s="38">
        <v>46142</v>
      </c>
      <c r="N47" s="164">
        <v>30</v>
      </c>
      <c r="O47" s="164">
        <f t="shared" si="1"/>
        <v>58.5</v>
      </c>
      <c r="P47" s="29">
        <f t="shared" si="2"/>
        <v>8</v>
      </c>
      <c r="Q47" s="28">
        <f t="shared" si="3"/>
        <v>15.6</v>
      </c>
    </row>
    <row r="48" spans="1:17">
      <c r="A48" s="27">
        <v>35</v>
      </c>
      <c r="B48" s="27" t="s">
        <v>51</v>
      </c>
      <c r="C48" s="27" t="s">
        <v>54</v>
      </c>
      <c r="D48" s="27">
        <v>1</v>
      </c>
      <c r="E48" s="27" t="s">
        <v>53</v>
      </c>
      <c r="F48" s="27">
        <v>1.95</v>
      </c>
      <c r="G48" s="29" t="s">
        <v>375</v>
      </c>
      <c r="H48" s="29"/>
      <c r="I48" s="42">
        <v>46045</v>
      </c>
      <c r="J48" s="38"/>
      <c r="K48" s="38">
        <f t="shared" si="0"/>
        <v>46135</v>
      </c>
      <c r="L48" s="169">
        <v>46135</v>
      </c>
      <c r="M48" s="38">
        <v>46142</v>
      </c>
      <c r="N48" s="164">
        <v>30</v>
      </c>
      <c r="O48" s="164">
        <f t="shared" si="1"/>
        <v>58.5</v>
      </c>
      <c r="P48" s="29">
        <f t="shared" si="2"/>
        <v>8</v>
      </c>
      <c r="Q48" s="28">
        <f t="shared" si="3"/>
        <v>15.6</v>
      </c>
    </row>
    <row r="49" spans="1:42">
      <c r="A49" s="27">
        <v>35</v>
      </c>
      <c r="B49" s="27" t="s">
        <v>51</v>
      </c>
      <c r="C49" s="27" t="s">
        <v>54</v>
      </c>
      <c r="D49" s="27">
        <v>1</v>
      </c>
      <c r="E49" s="27" t="s">
        <v>53</v>
      </c>
      <c r="F49" s="27">
        <v>1.95</v>
      </c>
      <c r="G49" s="29" t="s">
        <v>376</v>
      </c>
      <c r="H49" s="29"/>
      <c r="I49" s="42">
        <v>46045</v>
      </c>
      <c r="J49" s="38"/>
      <c r="K49" s="38">
        <f t="shared" si="0"/>
        <v>46135</v>
      </c>
      <c r="L49" s="169">
        <v>46135</v>
      </c>
      <c r="M49" s="38">
        <v>46142</v>
      </c>
      <c r="N49" s="164">
        <v>30</v>
      </c>
      <c r="O49" s="164">
        <f t="shared" si="1"/>
        <v>58.5</v>
      </c>
      <c r="P49" s="29">
        <f t="shared" si="2"/>
        <v>8</v>
      </c>
      <c r="Q49" s="28">
        <f t="shared" si="3"/>
        <v>15.6</v>
      </c>
    </row>
    <row r="50" spans="1:42">
      <c r="A50" s="27">
        <v>35</v>
      </c>
      <c r="B50" s="27" t="s">
        <v>51</v>
      </c>
      <c r="C50" s="27" t="s">
        <v>54</v>
      </c>
      <c r="D50" s="27">
        <v>1</v>
      </c>
      <c r="E50" s="27" t="s">
        <v>53</v>
      </c>
      <c r="F50" s="27">
        <v>1.95</v>
      </c>
      <c r="G50" s="29" t="s">
        <v>377</v>
      </c>
      <c r="H50" s="29"/>
      <c r="I50" s="42">
        <v>46045</v>
      </c>
      <c r="J50" s="38"/>
      <c r="K50" s="38">
        <f t="shared" si="0"/>
        <v>46135</v>
      </c>
      <c r="L50" s="169">
        <v>46135</v>
      </c>
      <c r="M50" s="38">
        <v>46142</v>
      </c>
      <c r="N50" s="164">
        <v>30</v>
      </c>
      <c r="O50" s="164">
        <f t="shared" si="1"/>
        <v>58.5</v>
      </c>
      <c r="P50" s="29">
        <f t="shared" si="2"/>
        <v>8</v>
      </c>
      <c r="Q50" s="28">
        <f t="shared" si="3"/>
        <v>15.6</v>
      </c>
    </row>
    <row r="51" spans="1:42">
      <c r="A51" s="27">
        <v>35</v>
      </c>
      <c r="B51" s="27" t="s">
        <v>51</v>
      </c>
      <c r="C51" s="27" t="s">
        <v>54</v>
      </c>
      <c r="D51" s="27">
        <v>1</v>
      </c>
      <c r="E51" s="27" t="s">
        <v>53</v>
      </c>
      <c r="F51" s="27">
        <v>1.95</v>
      </c>
      <c r="G51" s="29" t="s">
        <v>378</v>
      </c>
      <c r="H51" s="29"/>
      <c r="I51" s="42">
        <v>46045</v>
      </c>
      <c r="J51" s="38"/>
      <c r="K51" s="38">
        <f t="shared" si="0"/>
        <v>46135</v>
      </c>
      <c r="L51" s="169">
        <v>46135</v>
      </c>
      <c r="M51" s="38">
        <v>46142</v>
      </c>
      <c r="N51" s="164">
        <v>30</v>
      </c>
      <c r="O51" s="164">
        <f t="shared" si="1"/>
        <v>58.5</v>
      </c>
      <c r="P51" s="29">
        <f t="shared" si="2"/>
        <v>8</v>
      </c>
      <c r="Q51" s="28">
        <f t="shared" si="3"/>
        <v>15.6</v>
      </c>
    </row>
    <row r="52" s="164" customFormat="1" spans="1:42">
      <c r="A52" s="72">
        <v>35</v>
      </c>
      <c r="B52" s="72" t="s">
        <v>51</v>
      </c>
      <c r="C52" s="72" t="s">
        <v>54</v>
      </c>
      <c r="D52" s="72">
        <v>1</v>
      </c>
      <c r="E52" s="72" t="s">
        <v>53</v>
      </c>
      <c r="F52" s="72">
        <v>1.95</v>
      </c>
      <c r="G52" s="73" t="s">
        <v>379</v>
      </c>
      <c r="H52" s="73"/>
      <c r="I52" s="170">
        <v>46056</v>
      </c>
      <c r="J52" s="31">
        <v>46134</v>
      </c>
      <c r="K52" s="171">
        <f t="shared" si="0"/>
        <v>46146</v>
      </c>
      <c r="L52" s="172">
        <v>46113</v>
      </c>
      <c r="M52" s="171">
        <v>46142</v>
      </c>
      <c r="N52" s="164">
        <v>21</v>
      </c>
      <c r="O52" s="164">
        <f t="shared" si="1"/>
        <v>40.95</v>
      </c>
      <c r="P52" s="73">
        <v>0</v>
      </c>
      <c r="Q52" s="74">
        <f t="shared" si="3"/>
        <v>0</v>
      </c>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row>
    <row r="53" s="164" customFormat="1" spans="1:42">
      <c r="A53" s="72">
        <v>35</v>
      </c>
      <c r="B53" s="72" t="s">
        <v>51</v>
      </c>
      <c r="C53" s="72" t="s">
        <v>54</v>
      </c>
      <c r="D53" s="72">
        <v>1</v>
      </c>
      <c r="E53" s="72" t="s">
        <v>53</v>
      </c>
      <c r="F53" s="72">
        <v>1.95</v>
      </c>
      <c r="G53" s="73" t="s">
        <v>380</v>
      </c>
      <c r="H53" s="73"/>
      <c r="I53" s="170">
        <v>46056</v>
      </c>
      <c r="J53" s="31">
        <v>46134</v>
      </c>
      <c r="K53" s="171">
        <f t="shared" si="0"/>
        <v>46146</v>
      </c>
      <c r="L53" s="172">
        <v>46113</v>
      </c>
      <c r="M53" s="171">
        <v>46142</v>
      </c>
      <c r="N53" s="164">
        <v>21</v>
      </c>
      <c r="O53" s="164">
        <f t="shared" si="1"/>
        <v>40.95</v>
      </c>
      <c r="P53" s="73">
        <v>0</v>
      </c>
      <c r="Q53" s="74">
        <f t="shared" si="3"/>
        <v>0</v>
      </c>
      <c r="R53" s="80"/>
      <c r="S53" s="80"/>
      <c r="T53" s="80"/>
      <c r="U53" s="80"/>
      <c r="V53" s="80"/>
      <c r="W53" s="80"/>
      <c r="X53" s="80"/>
      <c r="Y53" s="80"/>
      <c r="Z53" s="80"/>
      <c r="AA53" s="80"/>
      <c r="AB53" s="80"/>
      <c r="AC53" s="80"/>
      <c r="AD53" s="80"/>
      <c r="AE53" s="80"/>
      <c r="AF53" s="80"/>
      <c r="AG53" s="80"/>
      <c r="AH53" s="80"/>
      <c r="AI53" s="80"/>
      <c r="AJ53" s="80"/>
      <c r="AK53" s="80"/>
      <c r="AL53" s="80"/>
      <c r="AM53" s="80"/>
      <c r="AN53" s="80"/>
      <c r="AO53" s="80"/>
      <c r="AP53" s="80"/>
    </row>
    <row r="54" s="164" customFormat="1" spans="1:42">
      <c r="A54" s="72">
        <v>35</v>
      </c>
      <c r="B54" s="72" t="s">
        <v>51</v>
      </c>
      <c r="C54" s="72" t="s">
        <v>54</v>
      </c>
      <c r="D54" s="72">
        <v>1</v>
      </c>
      <c r="E54" s="72" t="s">
        <v>53</v>
      </c>
      <c r="F54" s="72">
        <v>1.95</v>
      </c>
      <c r="G54" s="73" t="s">
        <v>381</v>
      </c>
      <c r="H54" s="73"/>
      <c r="I54" s="170">
        <v>46056</v>
      </c>
      <c r="J54" s="31">
        <v>46134</v>
      </c>
      <c r="K54" s="171">
        <f t="shared" si="0"/>
        <v>46146</v>
      </c>
      <c r="L54" s="172">
        <v>46113</v>
      </c>
      <c r="M54" s="171">
        <v>46142</v>
      </c>
      <c r="N54" s="164">
        <v>21</v>
      </c>
      <c r="O54" s="164">
        <f t="shared" si="1"/>
        <v>40.95</v>
      </c>
      <c r="P54" s="73">
        <v>0</v>
      </c>
      <c r="Q54" s="74">
        <f t="shared" si="3"/>
        <v>0</v>
      </c>
      <c r="R54" s="80"/>
      <c r="S54" s="80"/>
      <c r="T54" s="80"/>
      <c r="U54" s="80"/>
      <c r="V54" s="80"/>
      <c r="W54" s="80"/>
      <c r="X54" s="80"/>
      <c r="Y54" s="80"/>
      <c r="Z54" s="80"/>
      <c r="AA54" s="80"/>
      <c r="AB54" s="80"/>
      <c r="AC54" s="80"/>
      <c r="AD54" s="80"/>
      <c r="AE54" s="80"/>
      <c r="AF54" s="80"/>
      <c r="AG54" s="80"/>
      <c r="AH54" s="80"/>
      <c r="AI54" s="80"/>
      <c r="AJ54" s="80"/>
      <c r="AK54" s="80"/>
      <c r="AL54" s="80"/>
      <c r="AM54" s="80"/>
      <c r="AN54" s="80"/>
      <c r="AO54" s="80"/>
      <c r="AP54" s="80"/>
    </row>
    <row r="55" s="164" customFormat="1" spans="1:42">
      <c r="A55" s="72">
        <v>35</v>
      </c>
      <c r="B55" s="72" t="s">
        <v>51</v>
      </c>
      <c r="C55" s="72" t="s">
        <v>54</v>
      </c>
      <c r="D55" s="72">
        <v>1</v>
      </c>
      <c r="E55" s="72" t="s">
        <v>53</v>
      </c>
      <c r="F55" s="72">
        <v>1.95</v>
      </c>
      <c r="G55" s="73" t="s">
        <v>382</v>
      </c>
      <c r="H55" s="73"/>
      <c r="I55" s="170">
        <v>46056</v>
      </c>
      <c r="J55" s="31">
        <v>46134</v>
      </c>
      <c r="K55" s="171">
        <f t="shared" si="0"/>
        <v>46146</v>
      </c>
      <c r="L55" s="172">
        <v>46113</v>
      </c>
      <c r="M55" s="171">
        <v>46142</v>
      </c>
      <c r="N55" s="164">
        <v>21</v>
      </c>
      <c r="O55" s="164">
        <f t="shared" si="1"/>
        <v>40.95</v>
      </c>
      <c r="P55" s="73">
        <v>0</v>
      </c>
      <c r="Q55" s="74">
        <f t="shared" si="3"/>
        <v>0</v>
      </c>
      <c r="R55" s="80"/>
      <c r="S55" s="80"/>
      <c r="T55" s="80"/>
      <c r="U55" s="80"/>
      <c r="V55" s="80"/>
      <c r="W55" s="80"/>
      <c r="X55" s="80"/>
      <c r="Y55" s="80"/>
      <c r="Z55" s="80"/>
      <c r="AA55" s="80"/>
      <c r="AB55" s="80"/>
      <c r="AC55" s="80"/>
      <c r="AD55" s="80"/>
      <c r="AE55" s="80"/>
      <c r="AF55" s="80"/>
      <c r="AG55" s="80"/>
      <c r="AH55" s="80"/>
      <c r="AI55" s="80"/>
      <c r="AJ55" s="80"/>
      <c r="AK55" s="80"/>
      <c r="AL55" s="80"/>
      <c r="AM55" s="80"/>
      <c r="AN55" s="80"/>
      <c r="AO55" s="80"/>
      <c r="AP55" s="80"/>
    </row>
    <row r="56" s="164" customFormat="1" spans="1:42">
      <c r="A56" s="72">
        <v>35</v>
      </c>
      <c r="B56" s="72" t="s">
        <v>51</v>
      </c>
      <c r="C56" s="72" t="s">
        <v>54</v>
      </c>
      <c r="D56" s="72">
        <v>1</v>
      </c>
      <c r="E56" s="72" t="s">
        <v>53</v>
      </c>
      <c r="F56" s="72">
        <v>1.95</v>
      </c>
      <c r="G56" s="73" t="s">
        <v>383</v>
      </c>
      <c r="H56" s="73"/>
      <c r="I56" s="170">
        <v>46056</v>
      </c>
      <c r="J56" s="31">
        <v>46134</v>
      </c>
      <c r="K56" s="171">
        <f t="shared" si="0"/>
        <v>46146</v>
      </c>
      <c r="L56" s="172">
        <v>46113</v>
      </c>
      <c r="M56" s="171">
        <v>46142</v>
      </c>
      <c r="N56" s="164">
        <v>21</v>
      </c>
      <c r="O56" s="164">
        <f t="shared" si="1"/>
        <v>40.95</v>
      </c>
      <c r="P56" s="73">
        <v>0</v>
      </c>
      <c r="Q56" s="74">
        <f t="shared" si="3"/>
        <v>0</v>
      </c>
      <c r="R56" s="80"/>
      <c r="S56" s="80"/>
      <c r="T56" s="80"/>
      <c r="U56" s="80"/>
      <c r="V56" s="80"/>
      <c r="W56" s="80"/>
      <c r="X56" s="80"/>
      <c r="Y56" s="80"/>
      <c r="Z56" s="80"/>
      <c r="AA56" s="80"/>
      <c r="AB56" s="80"/>
      <c r="AC56" s="80"/>
      <c r="AD56" s="80"/>
      <c r="AE56" s="80"/>
      <c r="AF56" s="80"/>
      <c r="AG56" s="80"/>
      <c r="AH56" s="80"/>
      <c r="AI56" s="80"/>
      <c r="AJ56" s="80"/>
      <c r="AK56" s="80"/>
      <c r="AL56" s="80"/>
      <c r="AM56" s="80"/>
      <c r="AN56" s="80"/>
      <c r="AO56" s="80"/>
      <c r="AP56" s="80"/>
    </row>
    <row r="57" s="164" customFormat="1" spans="1:42">
      <c r="A57" s="72">
        <v>35</v>
      </c>
      <c r="B57" s="72" t="s">
        <v>51</v>
      </c>
      <c r="C57" s="72" t="s">
        <v>54</v>
      </c>
      <c r="D57" s="72">
        <v>1</v>
      </c>
      <c r="E57" s="72" t="s">
        <v>53</v>
      </c>
      <c r="F57" s="72">
        <v>1.95</v>
      </c>
      <c r="G57" s="73" t="s">
        <v>384</v>
      </c>
      <c r="H57" s="73"/>
      <c r="I57" s="170">
        <v>46056</v>
      </c>
      <c r="J57" s="31">
        <v>46134</v>
      </c>
      <c r="K57" s="171">
        <f t="shared" si="0"/>
        <v>46146</v>
      </c>
      <c r="L57" s="172">
        <v>46113</v>
      </c>
      <c r="M57" s="171">
        <v>46142</v>
      </c>
      <c r="N57" s="164">
        <v>21</v>
      </c>
      <c r="O57" s="164">
        <f t="shared" si="1"/>
        <v>40.95</v>
      </c>
      <c r="P57" s="73">
        <v>0</v>
      </c>
      <c r="Q57" s="74">
        <f t="shared" si="3"/>
        <v>0</v>
      </c>
      <c r="R57" s="80"/>
      <c r="S57" s="80"/>
      <c r="T57" s="80"/>
      <c r="U57" s="80"/>
      <c r="V57" s="80"/>
      <c r="W57" s="80"/>
      <c r="X57" s="80"/>
      <c r="Y57" s="80"/>
      <c r="Z57" s="80"/>
      <c r="AA57" s="80"/>
      <c r="AB57" s="80"/>
      <c r="AC57" s="80"/>
      <c r="AD57" s="80"/>
      <c r="AE57" s="80"/>
      <c r="AF57" s="80"/>
      <c r="AG57" s="80"/>
      <c r="AH57" s="80"/>
      <c r="AI57" s="80"/>
      <c r="AJ57" s="80"/>
      <c r="AK57" s="80"/>
      <c r="AL57" s="80"/>
      <c r="AM57" s="80"/>
      <c r="AN57" s="80"/>
      <c r="AO57" s="80"/>
      <c r="AP57" s="80"/>
    </row>
    <row r="58" s="164" customFormat="1" spans="1:42">
      <c r="A58" s="72">
        <v>36</v>
      </c>
      <c r="B58" s="72" t="s">
        <v>51</v>
      </c>
      <c r="C58" s="72" t="s">
        <v>52</v>
      </c>
      <c r="D58" s="72">
        <v>1</v>
      </c>
      <c r="E58" s="72" t="s">
        <v>53</v>
      </c>
      <c r="F58" s="72">
        <v>25.62</v>
      </c>
      <c r="G58" s="73" t="s">
        <v>385</v>
      </c>
      <c r="H58" s="73"/>
      <c r="I58" s="170">
        <v>46056</v>
      </c>
      <c r="J58" s="31">
        <v>46134</v>
      </c>
      <c r="K58" s="171">
        <f t="shared" si="0"/>
        <v>46146</v>
      </c>
      <c r="L58" s="172">
        <v>46113</v>
      </c>
      <c r="M58" s="171">
        <v>46142</v>
      </c>
      <c r="N58" s="27">
        <v>21</v>
      </c>
      <c r="O58" s="28">
        <f t="shared" si="1"/>
        <v>538.02</v>
      </c>
      <c r="P58" s="72">
        <v>0</v>
      </c>
      <c r="Q58" s="74">
        <v>0</v>
      </c>
      <c r="R58" s="80"/>
      <c r="S58" s="80"/>
      <c r="T58" s="80"/>
      <c r="U58" s="80"/>
      <c r="V58" s="80"/>
      <c r="W58" s="80"/>
      <c r="X58" s="80"/>
      <c r="Y58" s="80"/>
      <c r="Z58" s="80"/>
      <c r="AA58" s="80"/>
      <c r="AB58" s="80"/>
      <c r="AC58" s="80"/>
      <c r="AD58" s="80"/>
      <c r="AE58" s="80"/>
      <c r="AF58" s="80"/>
      <c r="AG58" s="80"/>
      <c r="AH58" s="80"/>
      <c r="AI58" s="80"/>
      <c r="AJ58" s="80"/>
      <c r="AK58" s="80"/>
      <c r="AL58" s="80"/>
      <c r="AM58" s="80"/>
      <c r="AN58" s="80"/>
      <c r="AO58" s="80"/>
      <c r="AP58" s="80"/>
    </row>
    <row r="59" s="164" customFormat="1" spans="1:42">
      <c r="A59" s="73"/>
      <c r="B59" s="73"/>
      <c r="C59" s="73"/>
      <c r="D59" s="72"/>
      <c r="E59" s="72"/>
      <c r="F59" s="72"/>
      <c r="G59" s="73" t="s">
        <v>386</v>
      </c>
      <c r="H59" s="73"/>
      <c r="I59" s="170"/>
      <c r="J59" s="31">
        <v>46134</v>
      </c>
      <c r="K59" s="171"/>
      <c r="L59" s="172">
        <v>46113</v>
      </c>
      <c r="M59" s="171">
        <v>46142</v>
      </c>
      <c r="N59" s="27"/>
      <c r="O59" s="28"/>
      <c r="P59" s="72"/>
      <c r="Q59" s="74"/>
      <c r="R59" s="80"/>
      <c r="S59" s="80"/>
      <c r="T59" s="80"/>
      <c r="U59" s="80"/>
      <c r="V59" s="80"/>
      <c r="W59" s="80"/>
      <c r="X59" s="80"/>
      <c r="Y59" s="80"/>
      <c r="Z59" s="80"/>
      <c r="AA59" s="80"/>
      <c r="AB59" s="80"/>
      <c r="AC59" s="80"/>
      <c r="AD59" s="80"/>
      <c r="AE59" s="80"/>
      <c r="AF59" s="80"/>
      <c r="AG59" s="80"/>
      <c r="AH59" s="80"/>
      <c r="AI59" s="80"/>
      <c r="AJ59" s="80"/>
      <c r="AK59" s="80"/>
      <c r="AL59" s="80"/>
      <c r="AM59" s="80"/>
      <c r="AN59" s="80"/>
      <c r="AO59" s="80"/>
      <c r="AP59" s="80"/>
    </row>
    <row r="60" s="164" customFormat="1" spans="1:42">
      <c r="A60" s="73"/>
      <c r="B60" s="73"/>
      <c r="C60" s="73"/>
      <c r="D60" s="72"/>
      <c r="E60" s="72"/>
      <c r="F60" s="72"/>
      <c r="G60" s="73" t="s">
        <v>387</v>
      </c>
      <c r="H60" s="73"/>
      <c r="I60" s="170"/>
      <c r="J60" s="31">
        <v>46134</v>
      </c>
      <c r="K60" s="171"/>
      <c r="L60" s="172">
        <v>46113</v>
      </c>
      <c r="M60" s="171">
        <v>46142</v>
      </c>
      <c r="N60" s="27"/>
      <c r="O60" s="28"/>
      <c r="P60" s="72"/>
      <c r="Q60" s="74"/>
      <c r="R60" s="80"/>
      <c r="S60" s="80"/>
      <c r="T60" s="80"/>
      <c r="U60" s="80"/>
      <c r="V60" s="80"/>
      <c r="W60" s="80"/>
      <c r="X60" s="80"/>
      <c r="Y60" s="80"/>
      <c r="Z60" s="80"/>
      <c r="AA60" s="80"/>
      <c r="AB60" s="80"/>
      <c r="AC60" s="80"/>
      <c r="AD60" s="80"/>
      <c r="AE60" s="80"/>
      <c r="AF60" s="80"/>
      <c r="AG60" s="80"/>
      <c r="AH60" s="80"/>
      <c r="AI60" s="80"/>
      <c r="AJ60" s="80"/>
      <c r="AK60" s="80"/>
      <c r="AL60" s="80"/>
      <c r="AM60" s="80"/>
      <c r="AN60" s="80"/>
      <c r="AO60" s="80"/>
      <c r="AP60" s="80"/>
    </row>
    <row r="61" s="164" customFormat="1" spans="1:42">
      <c r="A61" s="73"/>
      <c r="B61" s="73"/>
      <c r="C61" s="73"/>
      <c r="D61" s="72"/>
      <c r="E61" s="72"/>
      <c r="F61" s="72"/>
      <c r="G61" s="73" t="s">
        <v>388</v>
      </c>
      <c r="H61" s="73"/>
      <c r="I61" s="170"/>
      <c r="J61" s="31">
        <v>46134</v>
      </c>
      <c r="K61" s="171"/>
      <c r="L61" s="172">
        <v>46113</v>
      </c>
      <c r="M61" s="171">
        <v>46142</v>
      </c>
      <c r="N61" s="27"/>
      <c r="O61" s="28"/>
      <c r="P61" s="72"/>
      <c r="Q61" s="74"/>
      <c r="R61" s="80"/>
      <c r="S61" s="80"/>
      <c r="T61" s="80"/>
      <c r="U61" s="80"/>
      <c r="V61" s="80"/>
      <c r="W61" s="80"/>
      <c r="X61" s="80"/>
      <c r="Y61" s="80"/>
      <c r="Z61" s="80"/>
      <c r="AA61" s="80"/>
      <c r="AB61" s="80"/>
      <c r="AC61" s="80"/>
      <c r="AD61" s="80"/>
      <c r="AE61" s="80"/>
      <c r="AF61" s="80"/>
      <c r="AG61" s="80"/>
      <c r="AH61" s="80"/>
      <c r="AI61" s="80"/>
      <c r="AJ61" s="80"/>
      <c r="AK61" s="80"/>
      <c r="AL61" s="80"/>
      <c r="AM61" s="80"/>
      <c r="AN61" s="80"/>
      <c r="AO61" s="80"/>
      <c r="AP61" s="80"/>
    </row>
    <row r="62" s="164" customFormat="1" spans="1:42">
      <c r="A62" s="73"/>
      <c r="B62" s="73"/>
      <c r="C62" s="73"/>
      <c r="D62" s="72"/>
      <c r="E62" s="72"/>
      <c r="F62" s="72"/>
      <c r="G62" s="73" t="s">
        <v>389</v>
      </c>
      <c r="H62" s="73"/>
      <c r="I62" s="170"/>
      <c r="J62" s="31">
        <v>46134</v>
      </c>
      <c r="K62" s="171"/>
      <c r="L62" s="172">
        <v>46113</v>
      </c>
      <c r="M62" s="171">
        <v>46142</v>
      </c>
      <c r="N62" s="27"/>
      <c r="O62" s="28"/>
      <c r="P62" s="72"/>
      <c r="Q62" s="74"/>
      <c r="R62" s="80"/>
      <c r="S62" s="80"/>
      <c r="T62" s="80"/>
      <c r="U62" s="80"/>
      <c r="V62" s="80"/>
      <c r="W62" s="80"/>
      <c r="X62" s="80"/>
      <c r="Y62" s="80"/>
      <c r="Z62" s="80"/>
      <c r="AA62" s="80"/>
      <c r="AB62" s="80"/>
      <c r="AC62" s="80"/>
      <c r="AD62" s="80"/>
      <c r="AE62" s="80"/>
      <c r="AF62" s="80"/>
      <c r="AG62" s="80"/>
      <c r="AH62" s="80"/>
      <c r="AI62" s="80"/>
      <c r="AJ62" s="80"/>
      <c r="AK62" s="80"/>
      <c r="AL62" s="80"/>
      <c r="AM62" s="80"/>
      <c r="AN62" s="80"/>
      <c r="AO62" s="80"/>
      <c r="AP62" s="80"/>
    </row>
    <row r="63" s="164" customFormat="1" spans="1:42">
      <c r="A63" s="73"/>
      <c r="B63" s="73"/>
      <c r="C63" s="73"/>
      <c r="D63" s="72"/>
      <c r="E63" s="72"/>
      <c r="F63" s="72"/>
      <c r="G63" s="73" t="s">
        <v>390</v>
      </c>
      <c r="H63" s="73"/>
      <c r="I63" s="170"/>
      <c r="J63" s="31">
        <v>46134</v>
      </c>
      <c r="K63" s="171"/>
      <c r="L63" s="172">
        <v>46113</v>
      </c>
      <c r="M63" s="171">
        <v>46142</v>
      </c>
      <c r="N63" s="27"/>
      <c r="O63" s="28"/>
      <c r="P63" s="72"/>
      <c r="Q63" s="74"/>
      <c r="R63" s="80"/>
      <c r="S63" s="80"/>
      <c r="T63" s="80"/>
      <c r="U63" s="80"/>
      <c r="V63" s="80"/>
      <c r="W63" s="80"/>
      <c r="X63" s="80"/>
      <c r="Y63" s="80"/>
      <c r="Z63" s="80"/>
      <c r="AA63" s="80"/>
      <c r="AB63" s="80"/>
      <c r="AC63" s="80"/>
      <c r="AD63" s="80"/>
      <c r="AE63" s="80"/>
      <c r="AF63" s="80"/>
      <c r="AG63" s="80"/>
      <c r="AH63" s="80"/>
      <c r="AI63" s="80"/>
      <c r="AJ63" s="80"/>
      <c r="AK63" s="80"/>
      <c r="AL63" s="80"/>
      <c r="AM63" s="80"/>
      <c r="AN63" s="80"/>
      <c r="AO63" s="80"/>
      <c r="AP63" s="80"/>
    </row>
    <row r="64" s="164" customFormat="1" spans="1:42">
      <c r="A64" s="73"/>
      <c r="B64" s="73"/>
      <c r="C64" s="73"/>
      <c r="D64" s="72"/>
      <c r="E64" s="72"/>
      <c r="F64" s="72"/>
      <c r="G64" s="73" t="s">
        <v>391</v>
      </c>
      <c r="H64" s="73"/>
      <c r="I64" s="170"/>
      <c r="J64" s="31">
        <v>46134</v>
      </c>
      <c r="K64" s="171"/>
      <c r="L64" s="172">
        <v>46113</v>
      </c>
      <c r="M64" s="171">
        <v>46142</v>
      </c>
      <c r="N64" s="27"/>
      <c r="O64" s="28"/>
      <c r="P64" s="72"/>
      <c r="Q64" s="74"/>
      <c r="R64" s="80"/>
      <c r="S64" s="80"/>
      <c r="T64" s="80"/>
      <c r="U64" s="80"/>
      <c r="V64" s="80"/>
      <c r="W64" s="80"/>
      <c r="X64" s="80"/>
      <c r="Y64" s="80"/>
      <c r="Z64" s="80"/>
      <c r="AA64" s="80"/>
      <c r="AB64" s="80"/>
      <c r="AC64" s="80"/>
      <c r="AD64" s="80"/>
      <c r="AE64" s="80"/>
      <c r="AF64" s="80"/>
      <c r="AG64" s="80"/>
      <c r="AH64" s="80"/>
      <c r="AI64" s="80"/>
      <c r="AJ64" s="80"/>
      <c r="AK64" s="80"/>
      <c r="AL64" s="80"/>
      <c r="AM64" s="80"/>
      <c r="AN64" s="80"/>
      <c r="AO64" s="80"/>
      <c r="AP64" s="80"/>
    </row>
    <row r="65" s="164" customFormat="1" spans="1:42">
      <c r="A65" s="73"/>
      <c r="B65" s="73"/>
      <c r="C65" s="73"/>
      <c r="D65" s="72"/>
      <c r="E65" s="72"/>
      <c r="F65" s="72"/>
      <c r="G65" s="73" t="s">
        <v>392</v>
      </c>
      <c r="H65" s="73"/>
      <c r="I65" s="170"/>
      <c r="J65" s="31">
        <v>46134</v>
      </c>
      <c r="K65" s="171"/>
      <c r="L65" s="172">
        <v>46113</v>
      </c>
      <c r="M65" s="171">
        <v>46142</v>
      </c>
      <c r="N65" s="27"/>
      <c r="O65" s="28"/>
      <c r="P65" s="72"/>
      <c r="Q65" s="74"/>
      <c r="R65" s="80"/>
      <c r="S65" s="80"/>
      <c r="T65" s="80"/>
      <c r="U65" s="80"/>
      <c r="V65" s="80"/>
      <c r="W65" s="80"/>
      <c r="X65" s="80"/>
      <c r="Y65" s="80"/>
      <c r="Z65" s="80"/>
      <c r="AA65" s="80"/>
      <c r="AB65" s="80"/>
      <c r="AC65" s="80"/>
      <c r="AD65" s="80"/>
      <c r="AE65" s="80"/>
      <c r="AF65" s="80"/>
      <c r="AG65" s="80"/>
      <c r="AH65" s="80"/>
      <c r="AI65" s="80"/>
      <c r="AJ65" s="80"/>
      <c r="AK65" s="80"/>
      <c r="AL65" s="80"/>
      <c r="AM65" s="80"/>
      <c r="AN65" s="80"/>
      <c r="AO65" s="80"/>
      <c r="AP65" s="80"/>
    </row>
    <row r="66" s="164" customFormat="1" spans="1:42">
      <c r="A66" s="73"/>
      <c r="B66" s="73"/>
      <c r="C66" s="73"/>
      <c r="D66" s="72"/>
      <c r="E66" s="72"/>
      <c r="F66" s="72"/>
      <c r="G66" s="73" t="s">
        <v>393</v>
      </c>
      <c r="H66" s="73"/>
      <c r="I66" s="170"/>
      <c r="J66" s="31">
        <v>46134</v>
      </c>
      <c r="K66" s="171"/>
      <c r="L66" s="172">
        <v>46113</v>
      </c>
      <c r="M66" s="171">
        <v>46142</v>
      </c>
      <c r="N66" s="27"/>
      <c r="O66" s="28"/>
      <c r="P66" s="72"/>
      <c r="Q66" s="74"/>
      <c r="R66" s="80"/>
      <c r="S66" s="80"/>
      <c r="T66" s="80"/>
      <c r="U66" s="80"/>
      <c r="V66" s="80"/>
      <c r="W66" s="80"/>
      <c r="X66" s="80"/>
      <c r="Y66" s="80"/>
      <c r="Z66" s="80"/>
      <c r="AA66" s="80"/>
      <c r="AB66" s="80"/>
      <c r="AC66" s="80"/>
      <c r="AD66" s="80"/>
      <c r="AE66" s="80"/>
      <c r="AF66" s="80"/>
      <c r="AG66" s="80"/>
      <c r="AH66" s="80"/>
      <c r="AI66" s="80"/>
      <c r="AJ66" s="80"/>
      <c r="AK66" s="80"/>
      <c r="AL66" s="80"/>
      <c r="AM66" s="80"/>
      <c r="AN66" s="80"/>
      <c r="AO66" s="80"/>
      <c r="AP66" s="80"/>
    </row>
    <row r="67" s="164" customFormat="1" spans="1:42">
      <c r="A67" s="73"/>
      <c r="B67" s="73"/>
      <c r="C67" s="73"/>
      <c r="D67" s="72"/>
      <c r="E67" s="72"/>
      <c r="F67" s="72"/>
      <c r="G67" s="73" t="s">
        <v>394</v>
      </c>
      <c r="H67" s="73"/>
      <c r="I67" s="170"/>
      <c r="J67" s="31">
        <v>46134</v>
      </c>
      <c r="K67" s="171"/>
      <c r="L67" s="172">
        <v>46113</v>
      </c>
      <c r="M67" s="171">
        <v>46142</v>
      </c>
      <c r="N67" s="27"/>
      <c r="O67" s="28"/>
      <c r="P67" s="72"/>
      <c r="Q67" s="74"/>
      <c r="R67" s="80"/>
      <c r="S67" s="80"/>
      <c r="T67" s="80"/>
      <c r="U67" s="80"/>
      <c r="V67" s="80"/>
      <c r="W67" s="80"/>
      <c r="X67" s="80"/>
      <c r="Y67" s="80"/>
      <c r="Z67" s="80"/>
      <c r="AA67" s="80"/>
      <c r="AB67" s="80"/>
      <c r="AC67" s="80"/>
      <c r="AD67" s="80"/>
      <c r="AE67" s="80"/>
      <c r="AF67" s="80"/>
      <c r="AG67" s="80"/>
      <c r="AH67" s="80"/>
      <c r="AI67" s="80"/>
      <c r="AJ67" s="80"/>
      <c r="AK67" s="80"/>
      <c r="AL67" s="80"/>
      <c r="AM67" s="80"/>
      <c r="AN67" s="80"/>
      <c r="AO67" s="80"/>
      <c r="AP67" s="80"/>
    </row>
    <row r="68" s="164" customFormat="1" spans="1:42">
      <c r="A68" s="73"/>
      <c r="B68" s="73"/>
      <c r="C68" s="73"/>
      <c r="D68" s="72"/>
      <c r="E68" s="72"/>
      <c r="F68" s="72"/>
      <c r="G68" s="73" t="s">
        <v>395</v>
      </c>
      <c r="H68" s="73"/>
      <c r="I68" s="170"/>
      <c r="J68" s="31">
        <v>46134</v>
      </c>
      <c r="K68" s="171"/>
      <c r="L68" s="172">
        <v>46113</v>
      </c>
      <c r="M68" s="171">
        <v>46142</v>
      </c>
      <c r="N68" s="27"/>
      <c r="O68" s="28"/>
      <c r="P68" s="72"/>
      <c r="Q68" s="74"/>
      <c r="R68" s="80"/>
      <c r="S68" s="80"/>
      <c r="T68" s="80"/>
      <c r="U68" s="80"/>
      <c r="V68" s="80"/>
      <c r="W68" s="80"/>
      <c r="X68" s="80"/>
      <c r="Y68" s="80"/>
      <c r="Z68" s="80"/>
      <c r="AA68" s="80"/>
      <c r="AB68" s="80"/>
      <c r="AC68" s="80"/>
      <c r="AD68" s="80"/>
      <c r="AE68" s="80"/>
      <c r="AF68" s="80"/>
      <c r="AG68" s="80"/>
      <c r="AH68" s="80"/>
      <c r="AI68" s="80"/>
      <c r="AJ68" s="80"/>
      <c r="AK68" s="80"/>
      <c r="AL68" s="80"/>
      <c r="AM68" s="80"/>
      <c r="AN68" s="80"/>
      <c r="AO68" s="80"/>
      <c r="AP68" s="80"/>
    </row>
    <row r="69" s="164" customFormat="1" spans="1:42">
      <c r="A69" s="73"/>
      <c r="B69" s="73"/>
      <c r="C69" s="73"/>
      <c r="D69" s="72"/>
      <c r="E69" s="72"/>
      <c r="F69" s="72"/>
      <c r="G69" s="73" t="s">
        <v>396</v>
      </c>
      <c r="H69" s="73"/>
      <c r="I69" s="170"/>
      <c r="J69" s="31">
        <v>46134</v>
      </c>
      <c r="K69" s="171"/>
      <c r="L69" s="172">
        <v>46113</v>
      </c>
      <c r="M69" s="171">
        <v>46142</v>
      </c>
      <c r="N69" s="27"/>
      <c r="O69" s="28"/>
      <c r="P69" s="72"/>
      <c r="Q69" s="74"/>
      <c r="R69" s="80"/>
      <c r="S69" s="80"/>
      <c r="T69" s="80"/>
      <c r="U69" s="80"/>
      <c r="V69" s="80"/>
      <c r="W69" s="80"/>
      <c r="X69" s="80"/>
      <c r="Y69" s="80"/>
      <c r="Z69" s="80"/>
      <c r="AA69" s="80"/>
      <c r="AB69" s="80"/>
      <c r="AC69" s="80"/>
      <c r="AD69" s="80"/>
      <c r="AE69" s="80"/>
      <c r="AF69" s="80"/>
      <c r="AG69" s="80"/>
      <c r="AH69" s="80"/>
      <c r="AI69" s="80"/>
      <c r="AJ69" s="80"/>
      <c r="AK69" s="80"/>
      <c r="AL69" s="80"/>
      <c r="AM69" s="80"/>
      <c r="AN69" s="80"/>
      <c r="AO69" s="80"/>
      <c r="AP69" s="80"/>
    </row>
    <row r="70" s="164" customFormat="1" spans="1:42">
      <c r="A70" s="73"/>
      <c r="B70" s="73"/>
      <c r="C70" s="73"/>
      <c r="D70" s="72"/>
      <c r="E70" s="72"/>
      <c r="F70" s="72"/>
      <c r="G70" s="73" t="s">
        <v>397</v>
      </c>
      <c r="H70" s="73"/>
      <c r="I70" s="170"/>
      <c r="J70" s="31">
        <v>46134</v>
      </c>
      <c r="K70" s="171"/>
      <c r="L70" s="172">
        <v>46113</v>
      </c>
      <c r="M70" s="171">
        <v>46142</v>
      </c>
      <c r="N70" s="27"/>
      <c r="O70" s="28"/>
      <c r="P70" s="72"/>
      <c r="Q70" s="74"/>
      <c r="R70" s="80"/>
      <c r="S70" s="80"/>
      <c r="T70" s="80"/>
      <c r="U70" s="80"/>
      <c r="V70" s="80"/>
      <c r="W70" s="80"/>
      <c r="X70" s="80"/>
      <c r="Y70" s="80"/>
      <c r="Z70" s="80"/>
      <c r="AA70" s="80"/>
      <c r="AB70" s="80"/>
      <c r="AC70" s="80"/>
      <c r="AD70" s="80"/>
      <c r="AE70" s="80"/>
      <c r="AF70" s="80"/>
      <c r="AG70" s="80"/>
      <c r="AH70" s="80"/>
      <c r="AI70" s="80"/>
      <c r="AJ70" s="80"/>
      <c r="AK70" s="80"/>
      <c r="AL70" s="80"/>
      <c r="AM70" s="80"/>
      <c r="AN70" s="80"/>
      <c r="AO70" s="80"/>
      <c r="AP70" s="80"/>
    </row>
    <row r="71" s="164" customFormat="1" spans="1:42">
      <c r="A71" s="73"/>
      <c r="B71" s="73"/>
      <c r="C71" s="73"/>
      <c r="D71" s="72"/>
      <c r="E71" s="72"/>
      <c r="F71" s="72"/>
      <c r="G71" s="73" t="s">
        <v>398</v>
      </c>
      <c r="H71" s="73"/>
      <c r="I71" s="170"/>
      <c r="J71" s="31">
        <v>46134</v>
      </c>
      <c r="K71" s="171"/>
      <c r="L71" s="172">
        <v>46113</v>
      </c>
      <c r="M71" s="171">
        <v>46142</v>
      </c>
      <c r="N71" s="27"/>
      <c r="O71" s="28"/>
      <c r="P71" s="72"/>
      <c r="Q71" s="74"/>
      <c r="R71" s="80"/>
      <c r="S71" s="80"/>
      <c r="T71" s="80"/>
      <c r="U71" s="80"/>
      <c r="V71" s="80"/>
      <c r="W71" s="80"/>
      <c r="X71" s="80"/>
      <c r="Y71" s="80"/>
      <c r="Z71" s="80"/>
      <c r="AA71" s="80"/>
      <c r="AB71" s="80"/>
      <c r="AC71" s="80"/>
      <c r="AD71" s="80"/>
      <c r="AE71" s="80"/>
      <c r="AF71" s="80"/>
      <c r="AG71" s="80"/>
      <c r="AH71" s="80"/>
      <c r="AI71" s="80"/>
      <c r="AJ71" s="80"/>
      <c r="AK71" s="80"/>
      <c r="AL71" s="80"/>
      <c r="AM71" s="80"/>
      <c r="AN71" s="80"/>
      <c r="AO71" s="80"/>
      <c r="AP71" s="80"/>
    </row>
    <row r="72" s="164" customFormat="1" spans="1:42">
      <c r="A72" s="73"/>
      <c r="B72" s="73"/>
      <c r="C72" s="73"/>
      <c r="D72" s="72"/>
      <c r="E72" s="72"/>
      <c r="F72" s="72"/>
      <c r="G72" s="73" t="s">
        <v>399</v>
      </c>
      <c r="H72" s="73"/>
      <c r="I72" s="170"/>
      <c r="J72" s="31">
        <v>46134</v>
      </c>
      <c r="K72" s="171"/>
      <c r="L72" s="172">
        <v>46113</v>
      </c>
      <c r="M72" s="171">
        <v>46142</v>
      </c>
      <c r="N72" s="27"/>
      <c r="O72" s="28"/>
      <c r="P72" s="72"/>
      <c r="Q72" s="74"/>
      <c r="R72" s="80"/>
      <c r="S72" s="80"/>
      <c r="T72" s="80"/>
      <c r="U72" s="80"/>
      <c r="V72" s="80"/>
      <c r="W72" s="80"/>
      <c r="X72" s="80"/>
      <c r="Y72" s="80"/>
      <c r="Z72" s="80"/>
      <c r="AA72" s="80"/>
      <c r="AB72" s="80"/>
      <c r="AC72" s="80"/>
      <c r="AD72" s="80"/>
      <c r="AE72" s="80"/>
      <c r="AF72" s="80"/>
      <c r="AG72" s="80"/>
      <c r="AH72" s="80"/>
      <c r="AI72" s="80"/>
      <c r="AJ72" s="80"/>
      <c r="AK72" s="80"/>
      <c r="AL72" s="80"/>
      <c r="AM72" s="80"/>
      <c r="AN72" s="80"/>
      <c r="AO72" s="80"/>
      <c r="AP72" s="80"/>
    </row>
    <row r="73" s="164" customFormat="1" spans="1:42">
      <c r="A73" s="73"/>
      <c r="B73" s="73"/>
      <c r="C73" s="73"/>
      <c r="D73" s="72"/>
      <c r="E73" s="72"/>
      <c r="F73" s="72"/>
      <c r="G73" s="73" t="s">
        <v>400</v>
      </c>
      <c r="H73" s="73"/>
      <c r="I73" s="170"/>
      <c r="J73" s="31">
        <v>46134</v>
      </c>
      <c r="K73" s="171"/>
      <c r="L73" s="172">
        <v>46113</v>
      </c>
      <c r="M73" s="171">
        <v>46142</v>
      </c>
      <c r="N73" s="27"/>
      <c r="O73" s="28"/>
      <c r="P73" s="72"/>
      <c r="Q73" s="74"/>
      <c r="R73" s="80"/>
      <c r="S73" s="80"/>
      <c r="T73" s="80"/>
      <c r="U73" s="80"/>
      <c r="V73" s="80"/>
      <c r="W73" s="80"/>
      <c r="X73" s="80"/>
      <c r="Y73" s="80"/>
      <c r="Z73" s="80"/>
      <c r="AA73" s="80"/>
      <c r="AB73" s="80"/>
      <c r="AC73" s="80"/>
      <c r="AD73" s="80"/>
      <c r="AE73" s="80"/>
      <c r="AF73" s="80"/>
      <c r="AG73" s="80"/>
      <c r="AH73" s="80"/>
      <c r="AI73" s="80"/>
      <c r="AJ73" s="80"/>
      <c r="AK73" s="80"/>
      <c r="AL73" s="80"/>
      <c r="AM73" s="80"/>
      <c r="AN73" s="80"/>
      <c r="AO73" s="80"/>
      <c r="AP73" s="80"/>
    </row>
    <row r="74" s="164" customFormat="1" spans="1:42">
      <c r="A74" s="73"/>
      <c r="B74" s="73"/>
      <c r="C74" s="73"/>
      <c r="D74" s="72"/>
      <c r="E74" s="72"/>
      <c r="F74" s="72"/>
      <c r="G74" s="73" t="s">
        <v>401</v>
      </c>
      <c r="H74" s="73"/>
      <c r="I74" s="170"/>
      <c r="J74" s="31">
        <v>46134</v>
      </c>
      <c r="K74" s="171"/>
      <c r="L74" s="172">
        <v>46113</v>
      </c>
      <c r="M74" s="171">
        <v>46142</v>
      </c>
      <c r="N74" s="27"/>
      <c r="O74" s="28"/>
      <c r="P74" s="72"/>
      <c r="Q74" s="74"/>
      <c r="R74" s="80"/>
      <c r="S74" s="80"/>
      <c r="T74" s="80"/>
      <c r="U74" s="80"/>
      <c r="V74" s="80"/>
      <c r="W74" s="80"/>
      <c r="X74" s="80"/>
      <c r="Y74" s="80"/>
      <c r="Z74" s="80"/>
      <c r="AA74" s="80"/>
      <c r="AB74" s="80"/>
      <c r="AC74" s="80"/>
      <c r="AD74" s="80"/>
      <c r="AE74" s="80"/>
      <c r="AF74" s="80"/>
      <c r="AG74" s="80"/>
      <c r="AH74" s="80"/>
      <c r="AI74" s="80"/>
      <c r="AJ74" s="80"/>
      <c r="AK74" s="80"/>
      <c r="AL74" s="80"/>
      <c r="AM74" s="80"/>
      <c r="AN74" s="80"/>
      <c r="AO74" s="80"/>
      <c r="AP74" s="80"/>
    </row>
    <row r="75" s="164" customFormat="1" spans="1:42">
      <c r="A75" s="73"/>
      <c r="B75" s="73"/>
      <c r="C75" s="73"/>
      <c r="D75" s="72"/>
      <c r="E75" s="72"/>
      <c r="F75" s="72"/>
      <c r="G75" s="73" t="s">
        <v>402</v>
      </c>
      <c r="H75" s="73"/>
      <c r="I75" s="170"/>
      <c r="J75" s="31">
        <v>46134</v>
      </c>
      <c r="K75" s="171"/>
      <c r="L75" s="172">
        <v>46113</v>
      </c>
      <c r="M75" s="171">
        <v>46142</v>
      </c>
      <c r="N75" s="27"/>
      <c r="O75" s="28"/>
      <c r="P75" s="72"/>
      <c r="Q75" s="74"/>
      <c r="R75" s="80"/>
      <c r="S75" s="80"/>
      <c r="T75" s="80"/>
      <c r="U75" s="80"/>
      <c r="V75" s="80"/>
      <c r="W75" s="80"/>
      <c r="X75" s="80"/>
      <c r="Y75" s="80"/>
      <c r="Z75" s="80"/>
      <c r="AA75" s="80"/>
      <c r="AB75" s="80"/>
      <c r="AC75" s="80"/>
      <c r="AD75" s="80"/>
      <c r="AE75" s="80"/>
      <c r="AF75" s="80"/>
      <c r="AG75" s="80"/>
      <c r="AH75" s="80"/>
      <c r="AI75" s="80"/>
      <c r="AJ75" s="80"/>
      <c r="AK75" s="80"/>
      <c r="AL75" s="80"/>
      <c r="AM75" s="80"/>
      <c r="AN75" s="80"/>
      <c r="AO75" s="80"/>
      <c r="AP75" s="80"/>
    </row>
    <row r="76" s="164" customFormat="1" spans="1:42">
      <c r="A76" s="73"/>
      <c r="B76" s="73"/>
      <c r="C76" s="73"/>
      <c r="D76" s="72"/>
      <c r="E76" s="72"/>
      <c r="F76" s="72"/>
      <c r="G76" s="73" t="s">
        <v>403</v>
      </c>
      <c r="H76" s="73"/>
      <c r="I76" s="170"/>
      <c r="J76" s="31">
        <v>46134</v>
      </c>
      <c r="K76" s="171"/>
      <c r="L76" s="172">
        <v>46113</v>
      </c>
      <c r="M76" s="171">
        <v>46142</v>
      </c>
      <c r="N76" s="27"/>
      <c r="O76" s="28"/>
      <c r="P76" s="72"/>
      <c r="Q76" s="74"/>
      <c r="R76" s="80"/>
      <c r="S76" s="80"/>
      <c r="T76" s="80"/>
      <c r="U76" s="80"/>
      <c r="V76" s="80"/>
      <c r="W76" s="80"/>
      <c r="X76" s="80"/>
      <c r="Y76" s="80"/>
      <c r="Z76" s="80"/>
      <c r="AA76" s="80"/>
      <c r="AB76" s="80"/>
      <c r="AC76" s="80"/>
      <c r="AD76" s="80"/>
      <c r="AE76" s="80"/>
      <c r="AF76" s="80"/>
      <c r="AG76" s="80"/>
      <c r="AH76" s="80"/>
      <c r="AI76" s="80"/>
      <c r="AJ76" s="80"/>
      <c r="AK76" s="80"/>
      <c r="AL76" s="80"/>
      <c r="AM76" s="80"/>
      <c r="AN76" s="80"/>
      <c r="AO76" s="80"/>
      <c r="AP76" s="80"/>
    </row>
    <row r="77" s="164" customFormat="1" spans="1:42">
      <c r="A77" s="73"/>
      <c r="B77" s="73"/>
      <c r="C77" s="73"/>
      <c r="D77" s="72"/>
      <c r="E77" s="72"/>
      <c r="F77" s="72"/>
      <c r="G77" s="73" t="s">
        <v>404</v>
      </c>
      <c r="H77" s="73"/>
      <c r="I77" s="170"/>
      <c r="J77" s="31">
        <v>46134</v>
      </c>
      <c r="K77" s="171"/>
      <c r="L77" s="172">
        <v>46113</v>
      </c>
      <c r="M77" s="171">
        <v>46142</v>
      </c>
      <c r="N77" s="27"/>
      <c r="O77" s="28"/>
      <c r="P77" s="72"/>
      <c r="Q77" s="74"/>
      <c r="R77" s="80"/>
      <c r="S77" s="80"/>
      <c r="T77" s="80"/>
      <c r="U77" s="80"/>
      <c r="V77" s="80"/>
      <c r="W77" s="80"/>
      <c r="X77" s="80"/>
      <c r="Y77" s="80"/>
      <c r="Z77" s="80"/>
      <c r="AA77" s="80"/>
      <c r="AB77" s="80"/>
      <c r="AC77" s="80"/>
      <c r="AD77" s="80"/>
      <c r="AE77" s="80"/>
      <c r="AF77" s="80"/>
      <c r="AG77" s="80"/>
      <c r="AH77" s="80"/>
      <c r="AI77" s="80"/>
      <c r="AJ77" s="80"/>
      <c r="AK77" s="80"/>
      <c r="AL77" s="80"/>
      <c r="AM77" s="80"/>
      <c r="AN77" s="80"/>
      <c r="AO77" s="80"/>
      <c r="AP77" s="80"/>
    </row>
    <row r="78" spans="1:42">
      <c r="A78" s="27">
        <v>36</v>
      </c>
      <c r="B78" s="27" t="s">
        <v>51</v>
      </c>
      <c r="C78" s="27" t="s">
        <v>52</v>
      </c>
      <c r="D78" s="27">
        <v>1</v>
      </c>
      <c r="E78" s="27" t="s">
        <v>53</v>
      </c>
      <c r="F78" s="27">
        <v>25.62</v>
      </c>
      <c r="G78" s="29" t="s">
        <v>405</v>
      </c>
      <c r="H78" s="29"/>
      <c r="I78" s="39">
        <v>46056</v>
      </c>
      <c r="J78" s="38"/>
      <c r="K78" s="38">
        <f>I78+90</f>
        <v>46146</v>
      </c>
      <c r="L78" s="169">
        <v>46113</v>
      </c>
      <c r="M78" s="38">
        <v>46142</v>
      </c>
      <c r="N78" s="27">
        <v>30</v>
      </c>
      <c r="O78" s="28">
        <f>N78*F78*D78</f>
        <v>768.6</v>
      </c>
      <c r="P78" s="27">
        <v>0</v>
      </c>
      <c r="Q78" s="28">
        <v>0</v>
      </c>
    </row>
    <row r="79" spans="1:42">
      <c r="A79" s="27"/>
      <c r="B79" s="27"/>
      <c r="C79" s="27"/>
      <c r="D79" s="27"/>
      <c r="E79" s="27"/>
      <c r="F79" s="27"/>
      <c r="G79" s="29" t="s">
        <v>406</v>
      </c>
      <c r="H79" s="29"/>
      <c r="I79" s="39"/>
      <c r="J79" s="38"/>
      <c r="K79" s="38"/>
      <c r="L79" s="169">
        <v>46113</v>
      </c>
      <c r="M79" s="38">
        <v>46142</v>
      </c>
      <c r="N79" s="27"/>
      <c r="O79" s="28"/>
      <c r="P79" s="27"/>
      <c r="Q79" s="28"/>
    </row>
    <row r="80" spans="1:42">
      <c r="A80" s="27"/>
      <c r="B80" s="27"/>
      <c r="C80" s="27"/>
      <c r="D80" s="27"/>
      <c r="E80" s="27"/>
      <c r="F80" s="27"/>
      <c r="G80" s="29" t="s">
        <v>407</v>
      </c>
      <c r="H80" s="29"/>
      <c r="I80" s="39"/>
      <c r="J80" s="38"/>
      <c r="K80" s="38"/>
      <c r="L80" s="169">
        <v>46113</v>
      </c>
      <c r="M80" s="38">
        <v>46142</v>
      </c>
      <c r="N80" s="27"/>
      <c r="O80" s="28"/>
      <c r="P80" s="27"/>
      <c r="Q80" s="28"/>
    </row>
    <row r="81" spans="1:42">
      <c r="A81" s="27"/>
      <c r="B81" s="27"/>
      <c r="C81" s="27"/>
      <c r="D81" s="27"/>
      <c r="E81" s="27"/>
      <c r="F81" s="27"/>
      <c r="G81" s="29" t="s">
        <v>408</v>
      </c>
      <c r="H81" s="29"/>
      <c r="I81" s="39"/>
      <c r="J81" s="38"/>
      <c r="K81" s="38"/>
      <c r="L81" s="169">
        <v>46113</v>
      </c>
      <c r="M81" s="38">
        <v>46142</v>
      </c>
      <c r="N81" s="27"/>
      <c r="O81" s="28"/>
      <c r="P81" s="27"/>
      <c r="Q81" s="28"/>
    </row>
    <row r="82" spans="1:42">
      <c r="A82" s="27"/>
      <c r="B82" s="27"/>
      <c r="C82" s="27"/>
      <c r="D82" s="27"/>
      <c r="E82" s="27"/>
      <c r="F82" s="27"/>
      <c r="G82" s="29" t="s">
        <v>409</v>
      </c>
      <c r="H82" s="29"/>
      <c r="I82" s="39"/>
      <c r="J82" s="38"/>
      <c r="K82" s="38"/>
      <c r="L82" s="169">
        <v>46113</v>
      </c>
      <c r="M82" s="38">
        <v>46142</v>
      </c>
      <c r="N82" s="27"/>
      <c r="O82" s="28"/>
      <c r="P82" s="27"/>
      <c r="Q82" s="28"/>
    </row>
    <row r="83" s="165" customFormat="1" spans="1:42">
      <c r="A83" s="72"/>
      <c r="B83" s="72"/>
      <c r="C83" s="72"/>
      <c r="D83" s="72"/>
      <c r="E83" s="72"/>
      <c r="F83" s="72"/>
      <c r="G83" s="73" t="s">
        <v>410</v>
      </c>
      <c r="H83" s="73"/>
      <c r="I83" s="170"/>
      <c r="J83" s="171"/>
      <c r="K83" s="171"/>
      <c r="L83" s="172">
        <v>46113</v>
      </c>
      <c r="M83" s="171">
        <v>46142</v>
      </c>
      <c r="N83" s="27"/>
      <c r="O83" s="28"/>
      <c r="P83" s="72"/>
      <c r="Q83" s="74"/>
      <c r="R83" s="80"/>
      <c r="S83" s="80"/>
      <c r="T83" s="80"/>
      <c r="U83" s="80"/>
      <c r="V83" s="80"/>
      <c r="W83" s="80"/>
      <c r="X83" s="80"/>
      <c r="Y83" s="80"/>
      <c r="Z83" s="80"/>
      <c r="AA83" s="80"/>
      <c r="AB83" s="80"/>
      <c r="AC83" s="80"/>
      <c r="AD83" s="80"/>
      <c r="AE83" s="80"/>
      <c r="AF83" s="80"/>
      <c r="AG83" s="80"/>
      <c r="AH83" s="80"/>
      <c r="AI83" s="80"/>
      <c r="AJ83" s="80"/>
      <c r="AK83" s="80"/>
      <c r="AL83" s="80"/>
      <c r="AM83" s="80"/>
      <c r="AN83" s="80"/>
      <c r="AO83" s="80"/>
      <c r="AP83" s="80"/>
    </row>
    <row r="84" s="164" customFormat="1" spans="1:42">
      <c r="A84" s="72"/>
      <c r="B84" s="72"/>
      <c r="C84" s="72"/>
      <c r="D84" s="72"/>
      <c r="E84" s="72"/>
      <c r="F84" s="72"/>
      <c r="G84" s="73" t="s">
        <v>411</v>
      </c>
      <c r="H84" s="73"/>
      <c r="I84" s="170"/>
      <c r="J84" s="31">
        <v>46134</v>
      </c>
      <c r="K84" s="171"/>
      <c r="L84" s="172">
        <v>46113</v>
      </c>
      <c r="M84" s="171">
        <v>46142</v>
      </c>
      <c r="N84" s="27"/>
      <c r="O84" s="28"/>
      <c r="P84" s="72"/>
      <c r="Q84" s="74"/>
      <c r="R84" s="80"/>
      <c r="S84" s="80"/>
      <c r="T84" s="80"/>
      <c r="U84" s="80"/>
      <c r="V84" s="80"/>
      <c r="W84" s="80"/>
      <c r="X84" s="80"/>
      <c r="Y84" s="80"/>
      <c r="Z84" s="80"/>
      <c r="AA84" s="80"/>
      <c r="AB84" s="80"/>
      <c r="AC84" s="80"/>
      <c r="AD84" s="80"/>
      <c r="AE84" s="80"/>
      <c r="AF84" s="80"/>
      <c r="AG84" s="80"/>
      <c r="AH84" s="80"/>
      <c r="AI84" s="80"/>
      <c r="AJ84" s="80"/>
      <c r="AK84" s="80"/>
      <c r="AL84" s="80"/>
      <c r="AM84" s="80"/>
      <c r="AN84" s="80"/>
      <c r="AO84" s="80"/>
      <c r="AP84" s="80"/>
    </row>
    <row r="85" s="164" customFormat="1" spans="1:42">
      <c r="A85" s="72"/>
      <c r="B85" s="72"/>
      <c r="C85" s="72"/>
      <c r="D85" s="72"/>
      <c r="E85" s="72"/>
      <c r="F85" s="72"/>
      <c r="G85" s="73" t="s">
        <v>412</v>
      </c>
      <c r="H85" s="73"/>
      <c r="I85" s="170"/>
      <c r="J85" s="31">
        <v>46134</v>
      </c>
      <c r="K85" s="171"/>
      <c r="L85" s="172">
        <v>46113</v>
      </c>
      <c r="M85" s="171">
        <v>46142</v>
      </c>
      <c r="N85" s="27"/>
      <c r="O85" s="28"/>
      <c r="P85" s="72"/>
      <c r="Q85" s="74"/>
      <c r="R85" s="80"/>
      <c r="S85" s="80"/>
      <c r="T85" s="80"/>
      <c r="U85" s="80"/>
      <c r="V85" s="80"/>
      <c r="W85" s="80"/>
      <c r="X85" s="80"/>
      <c r="Y85" s="80"/>
      <c r="Z85" s="80"/>
      <c r="AA85" s="80"/>
      <c r="AB85" s="80"/>
      <c r="AC85" s="80"/>
      <c r="AD85" s="80"/>
      <c r="AE85" s="80"/>
      <c r="AF85" s="80"/>
      <c r="AG85" s="80"/>
      <c r="AH85" s="80"/>
      <c r="AI85" s="80"/>
      <c r="AJ85" s="80"/>
      <c r="AK85" s="80"/>
      <c r="AL85" s="80"/>
      <c r="AM85" s="80"/>
      <c r="AN85" s="80"/>
      <c r="AO85" s="80"/>
      <c r="AP85" s="80"/>
    </row>
    <row r="86" s="164" customFormat="1" spans="1:42">
      <c r="A86" s="72"/>
      <c r="B86" s="72"/>
      <c r="C86" s="72"/>
      <c r="D86" s="72"/>
      <c r="E86" s="72"/>
      <c r="F86" s="72"/>
      <c r="G86" s="73" t="s">
        <v>413</v>
      </c>
      <c r="H86" s="73"/>
      <c r="I86" s="170"/>
      <c r="J86" s="31">
        <v>46134</v>
      </c>
      <c r="K86" s="171"/>
      <c r="L86" s="172">
        <v>46113</v>
      </c>
      <c r="M86" s="171">
        <v>46142</v>
      </c>
      <c r="N86" s="27"/>
      <c r="O86" s="28"/>
      <c r="P86" s="72"/>
      <c r="Q86" s="74"/>
      <c r="R86" s="80"/>
      <c r="S86" s="80"/>
      <c r="T86" s="80"/>
      <c r="U86" s="80"/>
      <c r="V86" s="80"/>
      <c r="W86" s="80"/>
      <c r="X86" s="80"/>
      <c r="Y86" s="80"/>
      <c r="Z86" s="80"/>
      <c r="AA86" s="80"/>
      <c r="AB86" s="80"/>
      <c r="AC86" s="80"/>
      <c r="AD86" s="80"/>
      <c r="AE86" s="80"/>
      <c r="AF86" s="80"/>
      <c r="AG86" s="80"/>
      <c r="AH86" s="80"/>
      <c r="AI86" s="80"/>
      <c r="AJ86" s="80"/>
      <c r="AK86" s="80"/>
      <c r="AL86" s="80"/>
      <c r="AM86" s="80"/>
      <c r="AN86" s="80"/>
      <c r="AO86" s="80"/>
      <c r="AP86" s="80"/>
    </row>
    <row r="87" s="164" customFormat="1" spans="1:42">
      <c r="A87" s="72"/>
      <c r="B87" s="72"/>
      <c r="C87" s="72"/>
      <c r="D87" s="72"/>
      <c r="E87" s="72"/>
      <c r="F87" s="72"/>
      <c r="G87" s="73" t="s">
        <v>414</v>
      </c>
      <c r="H87" s="73"/>
      <c r="I87" s="170"/>
      <c r="J87" s="31">
        <v>46134</v>
      </c>
      <c r="K87" s="171"/>
      <c r="L87" s="172">
        <v>46113</v>
      </c>
      <c r="M87" s="171">
        <v>46142</v>
      </c>
      <c r="N87" s="27"/>
      <c r="O87" s="28"/>
      <c r="P87" s="72"/>
      <c r="Q87" s="74"/>
      <c r="R87" s="80"/>
      <c r="S87" s="80"/>
      <c r="T87" s="80"/>
      <c r="U87" s="80"/>
      <c r="V87" s="80"/>
      <c r="W87" s="80"/>
      <c r="X87" s="80"/>
      <c r="Y87" s="80"/>
      <c r="Z87" s="80"/>
      <c r="AA87" s="80"/>
      <c r="AB87" s="80"/>
      <c r="AC87" s="80"/>
      <c r="AD87" s="80"/>
      <c r="AE87" s="80"/>
      <c r="AF87" s="80"/>
      <c r="AG87" s="80"/>
      <c r="AH87" s="80"/>
      <c r="AI87" s="80"/>
      <c r="AJ87" s="80"/>
      <c r="AK87" s="80"/>
      <c r="AL87" s="80"/>
      <c r="AM87" s="80"/>
      <c r="AN87" s="80"/>
      <c r="AO87" s="80"/>
      <c r="AP87" s="80"/>
    </row>
    <row r="88" s="164" customFormat="1" spans="1:42">
      <c r="A88" s="72"/>
      <c r="B88" s="72"/>
      <c r="C88" s="72"/>
      <c r="D88" s="72"/>
      <c r="E88" s="72"/>
      <c r="F88" s="72"/>
      <c r="G88" s="73" t="s">
        <v>415</v>
      </c>
      <c r="H88" s="73"/>
      <c r="I88" s="170"/>
      <c r="J88" s="31">
        <v>46134</v>
      </c>
      <c r="K88" s="171"/>
      <c r="L88" s="172">
        <v>46113</v>
      </c>
      <c r="M88" s="171">
        <v>46142</v>
      </c>
      <c r="N88" s="27"/>
      <c r="O88" s="28"/>
      <c r="P88" s="72"/>
      <c r="Q88" s="74"/>
      <c r="R88" s="80"/>
      <c r="S88" s="80"/>
      <c r="T88" s="80"/>
      <c r="U88" s="80"/>
      <c r="V88" s="80"/>
      <c r="W88" s="80"/>
      <c r="X88" s="80"/>
      <c r="Y88" s="80"/>
      <c r="Z88" s="80"/>
      <c r="AA88" s="80"/>
      <c r="AB88" s="80"/>
      <c r="AC88" s="80"/>
      <c r="AD88" s="80"/>
      <c r="AE88" s="80"/>
      <c r="AF88" s="80"/>
      <c r="AG88" s="80"/>
      <c r="AH88" s="80"/>
      <c r="AI88" s="80"/>
      <c r="AJ88" s="80"/>
      <c r="AK88" s="80"/>
      <c r="AL88" s="80"/>
      <c r="AM88" s="80"/>
      <c r="AN88" s="80"/>
      <c r="AO88" s="80"/>
      <c r="AP88" s="80"/>
    </row>
    <row r="89" s="164" customFormat="1" spans="1:42">
      <c r="A89" s="72"/>
      <c r="B89" s="72"/>
      <c r="C89" s="72"/>
      <c r="D89" s="72"/>
      <c r="E89" s="72"/>
      <c r="F89" s="72"/>
      <c r="G89" s="73" t="s">
        <v>416</v>
      </c>
      <c r="H89" s="73"/>
      <c r="I89" s="170"/>
      <c r="J89" s="31">
        <v>46134</v>
      </c>
      <c r="K89" s="171"/>
      <c r="L89" s="172">
        <v>46113</v>
      </c>
      <c r="M89" s="171">
        <v>46142</v>
      </c>
      <c r="N89" s="27"/>
      <c r="O89" s="28"/>
      <c r="P89" s="72"/>
      <c r="Q89" s="74"/>
      <c r="R89" s="80"/>
      <c r="S89" s="80"/>
      <c r="T89" s="80"/>
      <c r="U89" s="80"/>
      <c r="V89" s="80"/>
      <c r="W89" s="80"/>
      <c r="X89" s="80"/>
      <c r="Y89" s="80"/>
      <c r="Z89" s="80"/>
      <c r="AA89" s="80"/>
      <c r="AB89" s="80"/>
      <c r="AC89" s="80"/>
      <c r="AD89" s="80"/>
      <c r="AE89" s="80"/>
      <c r="AF89" s="80"/>
      <c r="AG89" s="80"/>
      <c r="AH89" s="80"/>
      <c r="AI89" s="80"/>
      <c r="AJ89" s="80"/>
      <c r="AK89" s="80"/>
      <c r="AL89" s="80"/>
      <c r="AM89" s="80"/>
      <c r="AN89" s="80"/>
      <c r="AO89" s="80"/>
      <c r="AP89" s="80"/>
    </row>
    <row r="90" s="164" customFormat="1" spans="1:42">
      <c r="A90" s="72"/>
      <c r="B90" s="72"/>
      <c r="C90" s="72"/>
      <c r="D90" s="72"/>
      <c r="E90" s="72"/>
      <c r="F90" s="72"/>
      <c r="G90" s="73" t="s">
        <v>417</v>
      </c>
      <c r="H90" s="73"/>
      <c r="I90" s="170"/>
      <c r="J90" s="31">
        <v>46134</v>
      </c>
      <c r="K90" s="171"/>
      <c r="L90" s="172">
        <v>46113</v>
      </c>
      <c r="M90" s="171">
        <v>46142</v>
      </c>
      <c r="N90" s="27"/>
      <c r="O90" s="28"/>
      <c r="P90" s="72"/>
      <c r="Q90" s="74"/>
      <c r="R90" s="80"/>
      <c r="S90" s="80"/>
      <c r="T90" s="80"/>
      <c r="U90" s="80"/>
      <c r="V90" s="80"/>
      <c r="W90" s="80"/>
      <c r="X90" s="80"/>
      <c r="Y90" s="80"/>
      <c r="Z90" s="80"/>
      <c r="AA90" s="80"/>
      <c r="AB90" s="80"/>
      <c r="AC90" s="80"/>
      <c r="AD90" s="80"/>
      <c r="AE90" s="80"/>
      <c r="AF90" s="80"/>
      <c r="AG90" s="80"/>
      <c r="AH90" s="80"/>
      <c r="AI90" s="80"/>
      <c r="AJ90" s="80"/>
      <c r="AK90" s="80"/>
      <c r="AL90" s="80"/>
      <c r="AM90" s="80"/>
      <c r="AN90" s="80"/>
      <c r="AO90" s="80"/>
      <c r="AP90" s="80"/>
    </row>
    <row r="91" s="164" customFormat="1" spans="1:42">
      <c r="A91" s="72"/>
      <c r="B91" s="72"/>
      <c r="C91" s="72"/>
      <c r="D91" s="72"/>
      <c r="E91" s="72"/>
      <c r="F91" s="72"/>
      <c r="G91" s="73" t="s">
        <v>418</v>
      </c>
      <c r="H91" s="73"/>
      <c r="I91" s="170"/>
      <c r="J91" s="31">
        <v>46134</v>
      </c>
      <c r="K91" s="171"/>
      <c r="L91" s="172">
        <v>46113</v>
      </c>
      <c r="M91" s="171">
        <v>46142</v>
      </c>
      <c r="N91" s="27"/>
      <c r="O91" s="28"/>
      <c r="P91" s="72"/>
      <c r="Q91" s="74"/>
      <c r="R91" s="80"/>
      <c r="S91" s="80"/>
      <c r="T91" s="80"/>
      <c r="U91" s="80"/>
      <c r="V91" s="80"/>
      <c r="W91" s="80"/>
      <c r="X91" s="80"/>
      <c r="Y91" s="80"/>
      <c r="Z91" s="80"/>
      <c r="AA91" s="80"/>
      <c r="AB91" s="80"/>
      <c r="AC91" s="80"/>
      <c r="AD91" s="80"/>
      <c r="AE91" s="80"/>
      <c r="AF91" s="80"/>
      <c r="AG91" s="80"/>
      <c r="AH91" s="80"/>
      <c r="AI91" s="80"/>
      <c r="AJ91" s="80"/>
      <c r="AK91" s="80"/>
      <c r="AL91" s="80"/>
      <c r="AM91" s="80"/>
      <c r="AN91" s="80"/>
      <c r="AO91" s="80"/>
      <c r="AP91" s="80"/>
    </row>
    <row r="92" s="165" customFormat="1" spans="1:42">
      <c r="A92" s="72"/>
      <c r="B92" s="72"/>
      <c r="C92" s="72"/>
      <c r="D92" s="72"/>
      <c r="E92" s="72"/>
      <c r="F92" s="72"/>
      <c r="G92" s="73" t="s">
        <v>419</v>
      </c>
      <c r="H92" s="73"/>
      <c r="I92" s="170"/>
      <c r="J92" s="171"/>
      <c r="K92" s="171"/>
      <c r="L92" s="172">
        <v>46113</v>
      </c>
      <c r="M92" s="171">
        <v>46142</v>
      </c>
      <c r="N92" s="27"/>
      <c r="O92" s="28"/>
      <c r="P92" s="72"/>
      <c r="Q92" s="74"/>
      <c r="R92" s="80"/>
      <c r="S92" s="80"/>
      <c r="T92" s="80"/>
      <c r="U92" s="80"/>
      <c r="V92" s="80"/>
      <c r="W92" s="80"/>
      <c r="X92" s="80"/>
      <c r="Y92" s="80"/>
      <c r="Z92" s="80"/>
      <c r="AA92" s="80"/>
      <c r="AB92" s="80"/>
      <c r="AC92" s="80"/>
      <c r="AD92" s="80"/>
      <c r="AE92" s="80"/>
      <c r="AF92" s="80"/>
      <c r="AG92" s="80"/>
      <c r="AH92" s="80"/>
      <c r="AI92" s="80"/>
      <c r="AJ92" s="80"/>
      <c r="AK92" s="80"/>
      <c r="AL92" s="80"/>
      <c r="AM92" s="80"/>
      <c r="AN92" s="80"/>
      <c r="AO92" s="80"/>
      <c r="AP92" s="80"/>
    </row>
    <row r="93" s="165" customFormat="1" spans="1:42">
      <c r="A93" s="72"/>
      <c r="B93" s="72"/>
      <c r="C93" s="72"/>
      <c r="D93" s="72"/>
      <c r="E93" s="72"/>
      <c r="F93" s="72"/>
      <c r="G93" s="73" t="s">
        <v>420</v>
      </c>
      <c r="H93" s="73"/>
      <c r="I93" s="170"/>
      <c r="J93" s="171"/>
      <c r="K93" s="171"/>
      <c r="L93" s="172">
        <v>46113</v>
      </c>
      <c r="M93" s="171">
        <v>46142</v>
      </c>
      <c r="N93" s="27"/>
      <c r="O93" s="28"/>
      <c r="P93" s="72"/>
      <c r="Q93" s="74"/>
      <c r="R93" s="80"/>
      <c r="S93" s="80"/>
      <c r="T93" s="80"/>
      <c r="U93" s="80"/>
      <c r="V93" s="80"/>
      <c r="W93" s="80"/>
      <c r="X93" s="80"/>
      <c r="Y93" s="80"/>
      <c r="Z93" s="80"/>
      <c r="AA93" s="80"/>
      <c r="AB93" s="80"/>
      <c r="AC93" s="80"/>
      <c r="AD93" s="80"/>
      <c r="AE93" s="80"/>
      <c r="AF93" s="80"/>
      <c r="AG93" s="80"/>
      <c r="AH93" s="80"/>
      <c r="AI93" s="80"/>
      <c r="AJ93" s="80"/>
      <c r="AK93" s="80"/>
      <c r="AL93" s="80"/>
      <c r="AM93" s="80"/>
      <c r="AN93" s="80"/>
      <c r="AO93" s="80"/>
      <c r="AP93" s="80"/>
    </row>
    <row r="94" s="165" customFormat="1" spans="1:42">
      <c r="A94" s="72"/>
      <c r="B94" s="72"/>
      <c r="C94" s="72"/>
      <c r="D94" s="72"/>
      <c r="E94" s="72"/>
      <c r="F94" s="72"/>
      <c r="G94" s="73" t="s">
        <v>421</v>
      </c>
      <c r="H94" s="73"/>
      <c r="I94" s="170"/>
      <c r="J94" s="171"/>
      <c r="K94" s="171"/>
      <c r="L94" s="172">
        <v>46113</v>
      </c>
      <c r="M94" s="171">
        <v>46142</v>
      </c>
      <c r="N94" s="27"/>
      <c r="O94" s="28"/>
      <c r="P94" s="72"/>
      <c r="Q94" s="74"/>
      <c r="R94" s="80"/>
      <c r="S94" s="80"/>
      <c r="T94" s="80"/>
      <c r="U94" s="80"/>
      <c r="V94" s="80"/>
      <c r="W94" s="80"/>
      <c r="X94" s="80"/>
      <c r="Y94" s="80"/>
      <c r="Z94" s="80"/>
      <c r="AA94" s="80"/>
      <c r="AB94" s="80"/>
      <c r="AC94" s="80"/>
      <c r="AD94" s="80"/>
      <c r="AE94" s="80"/>
      <c r="AF94" s="80"/>
      <c r="AG94" s="80"/>
      <c r="AH94" s="80"/>
      <c r="AI94" s="80"/>
      <c r="AJ94" s="80"/>
      <c r="AK94" s="80"/>
      <c r="AL94" s="80"/>
      <c r="AM94" s="80"/>
      <c r="AN94" s="80"/>
      <c r="AO94" s="80"/>
      <c r="AP94" s="80"/>
    </row>
    <row r="95" s="164" customFormat="1" spans="1:42">
      <c r="A95" s="72"/>
      <c r="B95" s="72"/>
      <c r="C95" s="72"/>
      <c r="D95" s="72"/>
      <c r="E95" s="72"/>
      <c r="F95" s="72"/>
      <c r="G95" s="73" t="s">
        <v>422</v>
      </c>
      <c r="H95" s="73"/>
      <c r="I95" s="170"/>
      <c r="J95" s="31">
        <v>46134</v>
      </c>
      <c r="K95" s="171"/>
      <c r="L95" s="172">
        <v>46113</v>
      </c>
      <c r="M95" s="171">
        <v>46142</v>
      </c>
      <c r="N95" s="27"/>
      <c r="O95" s="28"/>
      <c r="P95" s="72"/>
      <c r="Q95" s="74"/>
      <c r="R95" s="80"/>
      <c r="S95" s="80"/>
      <c r="T95" s="80"/>
      <c r="U95" s="80"/>
      <c r="V95" s="80"/>
      <c r="W95" s="80"/>
      <c r="X95" s="80"/>
      <c r="Y95" s="80"/>
      <c r="Z95" s="80"/>
      <c r="AA95" s="80"/>
      <c r="AB95" s="80"/>
      <c r="AC95" s="80"/>
      <c r="AD95" s="80"/>
      <c r="AE95" s="80"/>
      <c r="AF95" s="80"/>
      <c r="AG95" s="80"/>
      <c r="AH95" s="80"/>
      <c r="AI95" s="80"/>
      <c r="AJ95" s="80"/>
      <c r="AK95" s="80"/>
      <c r="AL95" s="80"/>
      <c r="AM95" s="80"/>
      <c r="AN95" s="80"/>
      <c r="AO95" s="80"/>
      <c r="AP95" s="80"/>
    </row>
    <row r="96" s="165" customFormat="1" spans="1:42">
      <c r="A96" s="72"/>
      <c r="B96" s="72"/>
      <c r="C96" s="72"/>
      <c r="D96" s="72"/>
      <c r="E96" s="72"/>
      <c r="F96" s="72"/>
      <c r="G96" s="73" t="s">
        <v>423</v>
      </c>
      <c r="H96" s="73"/>
      <c r="I96" s="170"/>
      <c r="J96" s="171"/>
      <c r="K96" s="171"/>
      <c r="L96" s="172">
        <v>46113</v>
      </c>
      <c r="M96" s="171">
        <v>46142</v>
      </c>
      <c r="N96" s="27"/>
      <c r="O96" s="28"/>
      <c r="P96" s="72"/>
      <c r="Q96" s="74"/>
      <c r="R96" s="80"/>
      <c r="S96" s="80"/>
      <c r="T96" s="80"/>
      <c r="U96" s="80"/>
      <c r="V96" s="80"/>
      <c r="W96" s="80"/>
      <c r="X96" s="80"/>
      <c r="Y96" s="80"/>
      <c r="Z96" s="80"/>
      <c r="AA96" s="80"/>
      <c r="AB96" s="80"/>
      <c r="AC96" s="80"/>
      <c r="AD96" s="80"/>
      <c r="AE96" s="80"/>
      <c r="AF96" s="80"/>
      <c r="AG96" s="80"/>
      <c r="AH96" s="80"/>
      <c r="AI96" s="80"/>
      <c r="AJ96" s="80"/>
      <c r="AK96" s="80"/>
      <c r="AL96" s="80"/>
      <c r="AM96" s="80"/>
      <c r="AN96" s="80"/>
      <c r="AO96" s="80"/>
      <c r="AP96" s="80"/>
    </row>
    <row r="97" s="165" customFormat="1" spans="1:42">
      <c r="A97" s="72"/>
      <c r="B97" s="72"/>
      <c r="C97" s="72"/>
      <c r="D97" s="72"/>
      <c r="E97" s="72"/>
      <c r="F97" s="72"/>
      <c r="G97" s="73" t="s">
        <v>424</v>
      </c>
      <c r="H97" s="73"/>
      <c r="I97" s="170"/>
      <c r="J97" s="171"/>
      <c r="K97" s="171"/>
      <c r="L97" s="172">
        <v>46113</v>
      </c>
      <c r="M97" s="171">
        <v>46142</v>
      </c>
      <c r="N97" s="27"/>
      <c r="O97" s="28"/>
      <c r="P97" s="72"/>
      <c r="Q97" s="74"/>
      <c r="R97" s="80"/>
      <c r="S97" s="80"/>
      <c r="T97" s="80"/>
      <c r="U97" s="80"/>
      <c r="V97" s="80"/>
      <c r="W97" s="80"/>
      <c r="X97" s="80"/>
      <c r="Y97" s="80"/>
      <c r="Z97" s="80"/>
      <c r="AA97" s="80"/>
      <c r="AB97" s="80"/>
      <c r="AC97" s="80"/>
      <c r="AD97" s="80"/>
      <c r="AE97" s="80"/>
      <c r="AF97" s="80"/>
      <c r="AG97" s="80"/>
      <c r="AH97" s="80"/>
      <c r="AI97" s="80"/>
      <c r="AJ97" s="80"/>
      <c r="AK97" s="80"/>
      <c r="AL97" s="80"/>
      <c r="AM97" s="80"/>
      <c r="AN97" s="80"/>
      <c r="AO97" s="80"/>
      <c r="AP97" s="80"/>
    </row>
    <row r="98" s="165" customFormat="1" spans="1:42">
      <c r="A98" s="72">
        <v>35</v>
      </c>
      <c r="B98" s="72" t="s">
        <v>51</v>
      </c>
      <c r="C98" s="72" t="s">
        <v>54</v>
      </c>
      <c r="D98" s="72">
        <v>1</v>
      </c>
      <c r="E98" s="72" t="s">
        <v>53</v>
      </c>
      <c r="F98" s="72">
        <v>1.95</v>
      </c>
      <c r="G98" s="73" t="s">
        <v>425</v>
      </c>
      <c r="H98" s="73"/>
      <c r="I98" s="170">
        <v>46056</v>
      </c>
      <c r="J98" s="171"/>
      <c r="K98" s="171">
        <f t="shared" ref="K98:K103" si="4">I98+90</f>
        <v>46146</v>
      </c>
      <c r="L98" s="172">
        <v>46113</v>
      </c>
      <c r="M98" s="171">
        <v>46142</v>
      </c>
      <c r="N98" s="164">
        <v>30</v>
      </c>
      <c r="O98" s="164">
        <f t="shared" ref="O98:O103" si="5">N98*F98*D98</f>
        <v>58.5</v>
      </c>
      <c r="P98" s="73">
        <v>0</v>
      </c>
      <c r="Q98" s="74">
        <v>0</v>
      </c>
      <c r="R98" s="80"/>
      <c r="S98" s="80"/>
      <c r="T98" s="80"/>
      <c r="U98" s="80"/>
      <c r="V98" s="80"/>
      <c r="W98" s="80"/>
      <c r="X98" s="80"/>
      <c r="Y98" s="80"/>
      <c r="Z98" s="80"/>
      <c r="AA98" s="80"/>
      <c r="AB98" s="80"/>
      <c r="AC98" s="80"/>
      <c r="AD98" s="80"/>
      <c r="AE98" s="80"/>
      <c r="AF98" s="80"/>
      <c r="AG98" s="80"/>
      <c r="AH98" s="80"/>
      <c r="AI98" s="80"/>
      <c r="AJ98" s="80"/>
      <c r="AK98" s="80"/>
      <c r="AL98" s="80"/>
      <c r="AM98" s="80"/>
      <c r="AN98" s="80"/>
      <c r="AO98" s="80"/>
      <c r="AP98" s="80"/>
    </row>
    <row r="99" s="165" customFormat="1" spans="1:42">
      <c r="A99" s="72">
        <v>35</v>
      </c>
      <c r="B99" s="72" t="s">
        <v>51</v>
      </c>
      <c r="C99" s="72" t="s">
        <v>54</v>
      </c>
      <c r="D99" s="72">
        <v>1</v>
      </c>
      <c r="E99" s="72" t="s">
        <v>53</v>
      </c>
      <c r="F99" s="72">
        <v>1.95</v>
      </c>
      <c r="G99" s="73" t="s">
        <v>426</v>
      </c>
      <c r="H99" s="73"/>
      <c r="I99" s="170">
        <v>46056</v>
      </c>
      <c r="J99" s="171"/>
      <c r="K99" s="171">
        <f t="shared" si="4"/>
        <v>46146</v>
      </c>
      <c r="L99" s="172">
        <v>46113</v>
      </c>
      <c r="M99" s="171">
        <v>46142</v>
      </c>
      <c r="N99" s="164">
        <v>30</v>
      </c>
      <c r="O99" s="164">
        <f t="shared" si="5"/>
        <v>58.5</v>
      </c>
      <c r="P99" s="73">
        <v>0</v>
      </c>
      <c r="Q99" s="74">
        <v>0</v>
      </c>
      <c r="R99" s="80"/>
      <c r="S99" s="80"/>
      <c r="T99" s="80"/>
      <c r="U99" s="80"/>
      <c r="V99" s="80"/>
      <c r="W99" s="80"/>
      <c r="X99" s="80"/>
      <c r="Y99" s="80"/>
      <c r="Z99" s="80"/>
      <c r="AA99" s="80"/>
      <c r="AB99" s="80"/>
      <c r="AC99" s="80"/>
      <c r="AD99" s="80"/>
      <c r="AE99" s="80"/>
      <c r="AF99" s="80"/>
      <c r="AG99" s="80"/>
      <c r="AH99" s="80"/>
      <c r="AI99" s="80"/>
      <c r="AJ99" s="80"/>
      <c r="AK99" s="80"/>
      <c r="AL99" s="80"/>
      <c r="AM99" s="80"/>
      <c r="AN99" s="80"/>
      <c r="AO99" s="80"/>
      <c r="AP99" s="80"/>
    </row>
    <row r="100" s="165" customFormat="1" spans="1:42">
      <c r="A100" s="72">
        <v>35</v>
      </c>
      <c r="B100" s="72" t="s">
        <v>51</v>
      </c>
      <c r="C100" s="72" t="s">
        <v>54</v>
      </c>
      <c r="D100" s="72">
        <v>1</v>
      </c>
      <c r="E100" s="72" t="s">
        <v>53</v>
      </c>
      <c r="F100" s="72">
        <v>1.95</v>
      </c>
      <c r="G100" s="73" t="s">
        <v>427</v>
      </c>
      <c r="H100" s="73"/>
      <c r="I100" s="170">
        <v>46056</v>
      </c>
      <c r="J100" s="171"/>
      <c r="K100" s="171">
        <f t="shared" si="4"/>
        <v>46146</v>
      </c>
      <c r="L100" s="172">
        <v>46113</v>
      </c>
      <c r="M100" s="171">
        <v>46142</v>
      </c>
      <c r="N100" s="164">
        <v>30</v>
      </c>
      <c r="O100" s="164">
        <f t="shared" si="5"/>
        <v>58.5</v>
      </c>
      <c r="P100" s="73">
        <v>0</v>
      </c>
      <c r="Q100" s="74">
        <v>0</v>
      </c>
      <c r="R100" s="80"/>
      <c r="S100" s="80"/>
      <c r="T100" s="80"/>
      <c r="U100" s="80"/>
      <c r="V100" s="80"/>
      <c r="W100" s="80"/>
      <c r="X100" s="80"/>
      <c r="Y100" s="80"/>
      <c r="Z100" s="80"/>
      <c r="AA100" s="80"/>
      <c r="AB100" s="80"/>
      <c r="AC100" s="80"/>
      <c r="AD100" s="80"/>
      <c r="AE100" s="80"/>
      <c r="AF100" s="80"/>
      <c r="AG100" s="80"/>
      <c r="AH100" s="80"/>
      <c r="AI100" s="80"/>
      <c r="AJ100" s="80"/>
      <c r="AK100" s="80"/>
      <c r="AL100" s="80"/>
      <c r="AM100" s="80"/>
      <c r="AN100" s="80"/>
      <c r="AO100" s="80"/>
      <c r="AP100" s="80"/>
    </row>
    <row r="101" spans="1:42">
      <c r="A101" s="27">
        <v>35</v>
      </c>
      <c r="B101" s="27" t="s">
        <v>51</v>
      </c>
      <c r="C101" s="27" t="s">
        <v>54</v>
      </c>
      <c r="D101" s="27">
        <v>1</v>
      </c>
      <c r="E101" s="27" t="s">
        <v>53</v>
      </c>
      <c r="F101" s="27">
        <v>1.95</v>
      </c>
      <c r="G101" s="29" t="s">
        <v>428</v>
      </c>
      <c r="H101" s="29"/>
      <c r="I101" s="39">
        <v>46056</v>
      </c>
      <c r="J101" s="38"/>
      <c r="K101" s="38">
        <f t="shared" si="4"/>
        <v>46146</v>
      </c>
      <c r="L101" s="169">
        <v>46113</v>
      </c>
      <c r="M101" s="38">
        <v>46142</v>
      </c>
      <c r="N101" s="164">
        <v>30</v>
      </c>
      <c r="O101" s="164">
        <f t="shared" si="5"/>
        <v>58.5</v>
      </c>
      <c r="P101" s="29">
        <v>0</v>
      </c>
      <c r="Q101" s="28">
        <v>0</v>
      </c>
    </row>
    <row r="102" spans="1:42">
      <c r="A102" s="27">
        <v>35</v>
      </c>
      <c r="B102" s="27" t="s">
        <v>51</v>
      </c>
      <c r="C102" s="27" t="s">
        <v>54</v>
      </c>
      <c r="D102" s="27">
        <v>1</v>
      </c>
      <c r="E102" s="27" t="s">
        <v>53</v>
      </c>
      <c r="F102" s="27">
        <v>1.95</v>
      </c>
      <c r="G102" s="29" t="s">
        <v>429</v>
      </c>
      <c r="H102" s="29"/>
      <c r="I102" s="39">
        <v>46056</v>
      </c>
      <c r="J102" s="38"/>
      <c r="K102" s="38">
        <f t="shared" si="4"/>
        <v>46146</v>
      </c>
      <c r="L102" s="169">
        <v>46113</v>
      </c>
      <c r="M102" s="38">
        <v>46142</v>
      </c>
      <c r="N102" s="164">
        <v>30</v>
      </c>
      <c r="O102" s="164">
        <f t="shared" si="5"/>
        <v>58.5</v>
      </c>
      <c r="P102" s="29">
        <v>0</v>
      </c>
      <c r="Q102" s="28">
        <v>0</v>
      </c>
    </row>
    <row r="103" s="165" customFormat="1" spans="1:42">
      <c r="A103" s="72">
        <v>36</v>
      </c>
      <c r="B103" s="72" t="s">
        <v>51</v>
      </c>
      <c r="C103" s="72" t="s">
        <v>52</v>
      </c>
      <c r="D103" s="72">
        <v>1</v>
      </c>
      <c r="E103" s="72" t="s">
        <v>53</v>
      </c>
      <c r="F103" s="72">
        <v>25.62</v>
      </c>
      <c r="G103" s="173" t="s">
        <v>430</v>
      </c>
      <c r="H103" s="73"/>
      <c r="I103" s="170">
        <v>46059</v>
      </c>
      <c r="J103" s="31">
        <v>46134</v>
      </c>
      <c r="K103" s="171">
        <f t="shared" si="4"/>
        <v>46149</v>
      </c>
      <c r="L103" s="172">
        <v>46113</v>
      </c>
      <c r="M103" s="171">
        <v>46142</v>
      </c>
      <c r="N103" s="27">
        <v>21</v>
      </c>
      <c r="O103" s="28">
        <f t="shared" si="5"/>
        <v>538.02</v>
      </c>
      <c r="P103" s="72">
        <v>0</v>
      </c>
      <c r="Q103" s="74">
        <v>0</v>
      </c>
      <c r="R103" s="80"/>
      <c r="S103" s="80"/>
      <c r="T103" s="80"/>
      <c r="U103" s="80"/>
      <c r="V103" s="80"/>
      <c r="W103" s="80"/>
      <c r="X103" s="80"/>
      <c r="Y103" s="80"/>
      <c r="Z103" s="80"/>
      <c r="AA103" s="80"/>
      <c r="AB103" s="80"/>
      <c r="AC103" s="80"/>
      <c r="AD103" s="80"/>
      <c r="AE103" s="80"/>
      <c r="AF103" s="80"/>
      <c r="AG103" s="80"/>
      <c r="AH103" s="80"/>
      <c r="AI103" s="80"/>
      <c r="AJ103" s="80"/>
      <c r="AK103" s="80"/>
      <c r="AL103" s="80"/>
      <c r="AM103" s="80"/>
      <c r="AN103" s="80"/>
      <c r="AO103" s="80"/>
      <c r="AP103" s="80"/>
    </row>
    <row r="104" s="164" customFormat="1" spans="1:42">
      <c r="A104" s="72"/>
      <c r="B104" s="72"/>
      <c r="C104" s="72"/>
      <c r="D104" s="72"/>
      <c r="E104" s="72"/>
      <c r="F104" s="72"/>
      <c r="G104" s="173" t="s">
        <v>431</v>
      </c>
      <c r="H104" s="73"/>
      <c r="I104" s="170"/>
      <c r="J104" s="31">
        <v>46134</v>
      </c>
      <c r="K104" s="171"/>
      <c r="L104" s="172">
        <v>46113</v>
      </c>
      <c r="M104" s="171">
        <v>46142</v>
      </c>
      <c r="N104" s="27"/>
      <c r="O104" s="28"/>
      <c r="P104" s="72"/>
      <c r="Q104" s="74"/>
      <c r="R104" s="80"/>
      <c r="S104" s="80"/>
      <c r="T104" s="80"/>
      <c r="U104" s="80"/>
      <c r="V104" s="80"/>
      <c r="W104" s="80"/>
      <c r="X104" s="80"/>
      <c r="Y104" s="80"/>
      <c r="Z104" s="80"/>
      <c r="AA104" s="80"/>
      <c r="AB104" s="80"/>
      <c r="AC104" s="80"/>
      <c r="AD104" s="80"/>
      <c r="AE104" s="80"/>
      <c r="AF104" s="80"/>
      <c r="AG104" s="80"/>
      <c r="AH104" s="80"/>
      <c r="AI104" s="80"/>
      <c r="AJ104" s="80"/>
      <c r="AK104" s="80"/>
      <c r="AL104" s="80"/>
      <c r="AM104" s="80"/>
      <c r="AN104" s="80"/>
      <c r="AO104" s="80"/>
      <c r="AP104" s="80"/>
    </row>
    <row r="105" s="164" customFormat="1" spans="1:42">
      <c r="A105" s="72"/>
      <c r="B105" s="72"/>
      <c r="C105" s="72"/>
      <c r="D105" s="72"/>
      <c r="E105" s="72"/>
      <c r="F105" s="72"/>
      <c r="G105" s="173" t="s">
        <v>432</v>
      </c>
      <c r="H105" s="73"/>
      <c r="I105" s="170"/>
      <c r="J105" s="31">
        <v>46134</v>
      </c>
      <c r="K105" s="171"/>
      <c r="L105" s="172">
        <v>46113</v>
      </c>
      <c r="M105" s="171">
        <v>46142</v>
      </c>
      <c r="N105" s="27"/>
      <c r="O105" s="28"/>
      <c r="P105" s="72"/>
      <c r="Q105" s="74"/>
      <c r="R105" s="80"/>
      <c r="S105" s="80"/>
      <c r="T105" s="80"/>
      <c r="U105" s="80"/>
      <c r="V105" s="80"/>
      <c r="W105" s="80"/>
      <c r="X105" s="80"/>
      <c r="Y105" s="80"/>
      <c r="Z105" s="80"/>
      <c r="AA105" s="80"/>
      <c r="AB105" s="80"/>
      <c r="AC105" s="80"/>
      <c r="AD105" s="80"/>
      <c r="AE105" s="80"/>
      <c r="AF105" s="80"/>
      <c r="AG105" s="80"/>
      <c r="AH105" s="80"/>
      <c r="AI105" s="80"/>
      <c r="AJ105" s="80"/>
      <c r="AK105" s="80"/>
      <c r="AL105" s="80"/>
      <c r="AM105" s="80"/>
      <c r="AN105" s="80"/>
      <c r="AO105" s="80"/>
      <c r="AP105" s="80"/>
    </row>
    <row r="106" s="164" customFormat="1" spans="1:42">
      <c r="A106" s="72"/>
      <c r="B106" s="72"/>
      <c r="C106" s="72"/>
      <c r="D106" s="72"/>
      <c r="E106" s="72"/>
      <c r="F106" s="72"/>
      <c r="G106" s="173" t="s">
        <v>433</v>
      </c>
      <c r="H106" s="73"/>
      <c r="I106" s="170"/>
      <c r="J106" s="31">
        <v>46134</v>
      </c>
      <c r="K106" s="171"/>
      <c r="L106" s="172">
        <v>46113</v>
      </c>
      <c r="M106" s="171">
        <v>46142</v>
      </c>
      <c r="N106" s="27"/>
      <c r="O106" s="28"/>
      <c r="P106" s="72"/>
      <c r="Q106" s="74"/>
      <c r="R106" s="80"/>
      <c r="S106" s="80"/>
      <c r="T106" s="80"/>
      <c r="U106" s="80"/>
      <c r="V106" s="80"/>
      <c r="W106" s="80"/>
      <c r="X106" s="80"/>
      <c r="Y106" s="80"/>
      <c r="Z106" s="80"/>
      <c r="AA106" s="80"/>
      <c r="AB106" s="80"/>
      <c r="AC106" s="80"/>
      <c r="AD106" s="80"/>
      <c r="AE106" s="80"/>
      <c r="AF106" s="80"/>
      <c r="AG106" s="80"/>
      <c r="AH106" s="80"/>
      <c r="AI106" s="80"/>
      <c r="AJ106" s="80"/>
      <c r="AK106" s="80"/>
      <c r="AL106" s="80"/>
      <c r="AM106" s="80"/>
      <c r="AN106" s="80"/>
      <c r="AO106" s="80"/>
      <c r="AP106" s="80"/>
    </row>
    <row r="107" s="164" customFormat="1" spans="1:42">
      <c r="A107" s="72"/>
      <c r="B107" s="72"/>
      <c r="C107" s="72"/>
      <c r="D107" s="72"/>
      <c r="E107" s="72"/>
      <c r="F107" s="72"/>
      <c r="G107" s="173" t="s">
        <v>434</v>
      </c>
      <c r="H107" s="73"/>
      <c r="I107" s="170"/>
      <c r="J107" s="31">
        <v>46134</v>
      </c>
      <c r="K107" s="171"/>
      <c r="L107" s="172">
        <v>46113</v>
      </c>
      <c r="M107" s="171">
        <v>46142</v>
      </c>
      <c r="N107" s="27"/>
      <c r="O107" s="28"/>
      <c r="P107" s="72"/>
      <c r="Q107" s="74"/>
      <c r="R107" s="80"/>
      <c r="S107" s="80"/>
      <c r="T107" s="80"/>
      <c r="U107" s="80"/>
      <c r="V107" s="80"/>
      <c r="W107" s="80"/>
      <c r="X107" s="80"/>
      <c r="Y107" s="80"/>
      <c r="Z107" s="80"/>
      <c r="AA107" s="80"/>
      <c r="AB107" s="80"/>
      <c r="AC107" s="80"/>
      <c r="AD107" s="80"/>
      <c r="AE107" s="80"/>
      <c r="AF107" s="80"/>
      <c r="AG107" s="80"/>
      <c r="AH107" s="80"/>
      <c r="AI107" s="80"/>
      <c r="AJ107" s="80"/>
      <c r="AK107" s="80"/>
      <c r="AL107" s="80"/>
      <c r="AM107" s="80"/>
      <c r="AN107" s="80"/>
      <c r="AO107" s="80"/>
      <c r="AP107" s="80"/>
    </row>
    <row r="108" s="164" customFormat="1" spans="1:42">
      <c r="A108" s="72"/>
      <c r="B108" s="72"/>
      <c r="C108" s="72"/>
      <c r="D108" s="72"/>
      <c r="E108" s="72"/>
      <c r="F108" s="72"/>
      <c r="G108" s="173" t="s">
        <v>435</v>
      </c>
      <c r="H108" s="73"/>
      <c r="I108" s="170"/>
      <c r="J108" s="31">
        <v>46134</v>
      </c>
      <c r="K108" s="171"/>
      <c r="L108" s="172">
        <v>46113</v>
      </c>
      <c r="M108" s="171">
        <v>46142</v>
      </c>
      <c r="N108" s="27"/>
      <c r="O108" s="28"/>
      <c r="P108" s="72"/>
      <c r="Q108" s="74"/>
      <c r="R108" s="80"/>
      <c r="S108" s="80"/>
      <c r="T108" s="80"/>
      <c r="U108" s="80"/>
      <c r="V108" s="80"/>
      <c r="W108" s="80"/>
      <c r="X108" s="80"/>
      <c r="Y108" s="80"/>
      <c r="Z108" s="80"/>
      <c r="AA108" s="80"/>
      <c r="AB108" s="80"/>
      <c r="AC108" s="80"/>
      <c r="AD108" s="80"/>
      <c r="AE108" s="80"/>
      <c r="AF108" s="80"/>
      <c r="AG108" s="80"/>
      <c r="AH108" s="80"/>
      <c r="AI108" s="80"/>
      <c r="AJ108" s="80"/>
      <c r="AK108" s="80"/>
      <c r="AL108" s="80"/>
      <c r="AM108" s="80"/>
      <c r="AN108" s="80"/>
      <c r="AO108" s="80"/>
      <c r="AP108" s="80"/>
    </row>
    <row r="109" s="164" customFormat="1" spans="1:42">
      <c r="A109" s="72"/>
      <c r="B109" s="72"/>
      <c r="C109" s="72"/>
      <c r="D109" s="72"/>
      <c r="E109" s="72"/>
      <c r="F109" s="72"/>
      <c r="G109" s="173" t="s">
        <v>436</v>
      </c>
      <c r="H109" s="73"/>
      <c r="I109" s="170"/>
      <c r="J109" s="31">
        <v>46134</v>
      </c>
      <c r="K109" s="171"/>
      <c r="L109" s="172">
        <v>46113</v>
      </c>
      <c r="M109" s="171">
        <v>46142</v>
      </c>
      <c r="N109" s="27"/>
      <c r="O109" s="28"/>
      <c r="P109" s="72"/>
      <c r="Q109" s="74"/>
      <c r="R109" s="80"/>
      <c r="S109" s="80"/>
      <c r="T109" s="80"/>
      <c r="U109" s="80"/>
      <c r="V109" s="80"/>
      <c r="W109" s="80"/>
      <c r="X109" s="80"/>
      <c r="Y109" s="80"/>
      <c r="Z109" s="80"/>
      <c r="AA109" s="80"/>
      <c r="AB109" s="80"/>
      <c r="AC109" s="80"/>
      <c r="AD109" s="80"/>
      <c r="AE109" s="80"/>
      <c r="AF109" s="80"/>
      <c r="AG109" s="80"/>
      <c r="AH109" s="80"/>
      <c r="AI109" s="80"/>
      <c r="AJ109" s="80"/>
      <c r="AK109" s="80"/>
      <c r="AL109" s="80"/>
      <c r="AM109" s="80"/>
      <c r="AN109" s="80"/>
      <c r="AO109" s="80"/>
      <c r="AP109" s="80"/>
    </row>
    <row r="110" s="164" customFormat="1" spans="1:42">
      <c r="A110" s="72"/>
      <c r="B110" s="72"/>
      <c r="C110" s="72"/>
      <c r="D110" s="72"/>
      <c r="E110" s="72"/>
      <c r="F110" s="72"/>
      <c r="G110" s="173" t="s">
        <v>437</v>
      </c>
      <c r="H110" s="73"/>
      <c r="I110" s="170"/>
      <c r="J110" s="31">
        <v>46134</v>
      </c>
      <c r="K110" s="171"/>
      <c r="L110" s="172">
        <v>46113</v>
      </c>
      <c r="M110" s="171">
        <v>46142</v>
      </c>
      <c r="N110" s="27"/>
      <c r="O110" s="28"/>
      <c r="P110" s="72"/>
      <c r="Q110" s="74"/>
      <c r="R110" s="80"/>
      <c r="S110" s="80"/>
      <c r="T110" s="80"/>
      <c r="U110" s="80"/>
      <c r="V110" s="80"/>
      <c r="W110" s="80"/>
      <c r="X110" s="80"/>
      <c r="Y110" s="80"/>
      <c r="Z110" s="80"/>
      <c r="AA110" s="80"/>
      <c r="AB110" s="80"/>
      <c r="AC110" s="80"/>
      <c r="AD110" s="80"/>
      <c r="AE110" s="80"/>
      <c r="AF110" s="80"/>
      <c r="AG110" s="80"/>
      <c r="AH110" s="80"/>
      <c r="AI110" s="80"/>
      <c r="AJ110" s="80"/>
      <c r="AK110" s="80"/>
      <c r="AL110" s="80"/>
      <c r="AM110" s="80"/>
      <c r="AN110" s="80"/>
      <c r="AO110" s="80"/>
      <c r="AP110" s="80"/>
    </row>
    <row r="111" s="164" customFormat="1" spans="1:42">
      <c r="A111" s="72"/>
      <c r="B111" s="72"/>
      <c r="C111" s="72"/>
      <c r="D111" s="72"/>
      <c r="E111" s="72"/>
      <c r="F111" s="72"/>
      <c r="G111" s="173" t="s">
        <v>438</v>
      </c>
      <c r="H111" s="73"/>
      <c r="I111" s="170"/>
      <c r="J111" s="31">
        <v>46134</v>
      </c>
      <c r="K111" s="171"/>
      <c r="L111" s="172">
        <v>46113</v>
      </c>
      <c r="M111" s="171">
        <v>46142</v>
      </c>
      <c r="N111" s="27"/>
      <c r="O111" s="28"/>
      <c r="P111" s="72"/>
      <c r="Q111" s="74"/>
      <c r="R111" s="80"/>
      <c r="S111" s="80"/>
      <c r="T111" s="80"/>
      <c r="U111" s="80"/>
      <c r="V111" s="80"/>
      <c r="W111" s="80"/>
      <c r="X111" s="80"/>
      <c r="Y111" s="80"/>
      <c r="Z111" s="80"/>
      <c r="AA111" s="80"/>
      <c r="AB111" s="80"/>
      <c r="AC111" s="80"/>
      <c r="AD111" s="80"/>
      <c r="AE111" s="80"/>
      <c r="AF111" s="80"/>
      <c r="AG111" s="80"/>
      <c r="AH111" s="80"/>
      <c r="AI111" s="80"/>
      <c r="AJ111" s="80"/>
      <c r="AK111" s="80"/>
      <c r="AL111" s="80"/>
      <c r="AM111" s="80"/>
      <c r="AN111" s="80"/>
      <c r="AO111" s="80"/>
      <c r="AP111" s="80"/>
    </row>
    <row r="112" s="164" customFormat="1" spans="1:42">
      <c r="A112" s="72"/>
      <c r="B112" s="72"/>
      <c r="C112" s="72"/>
      <c r="D112" s="72"/>
      <c r="E112" s="72"/>
      <c r="F112" s="72"/>
      <c r="G112" s="173" t="s">
        <v>439</v>
      </c>
      <c r="H112" s="73"/>
      <c r="I112" s="170"/>
      <c r="J112" s="31">
        <v>46134</v>
      </c>
      <c r="K112" s="171"/>
      <c r="L112" s="172">
        <v>46113</v>
      </c>
      <c r="M112" s="171">
        <v>46142</v>
      </c>
      <c r="N112" s="27"/>
      <c r="O112" s="28"/>
      <c r="P112" s="72"/>
      <c r="Q112" s="74"/>
      <c r="R112" s="80"/>
      <c r="S112" s="80"/>
      <c r="T112" s="80"/>
      <c r="U112" s="80"/>
      <c r="V112" s="80"/>
      <c r="W112" s="80"/>
      <c r="X112" s="80"/>
      <c r="Y112" s="80"/>
      <c r="Z112" s="80"/>
      <c r="AA112" s="80"/>
      <c r="AB112" s="80"/>
      <c r="AC112" s="80"/>
      <c r="AD112" s="80"/>
      <c r="AE112" s="80"/>
      <c r="AF112" s="80"/>
      <c r="AG112" s="80"/>
      <c r="AH112" s="80"/>
      <c r="AI112" s="80"/>
      <c r="AJ112" s="80"/>
      <c r="AK112" s="80"/>
      <c r="AL112" s="80"/>
      <c r="AM112" s="80"/>
      <c r="AN112" s="80"/>
      <c r="AO112" s="80"/>
      <c r="AP112" s="80"/>
    </row>
    <row r="113" s="164" customFormat="1" spans="1:42">
      <c r="A113" s="72"/>
      <c r="B113" s="72"/>
      <c r="C113" s="72"/>
      <c r="D113" s="72"/>
      <c r="E113" s="72"/>
      <c r="F113" s="72"/>
      <c r="G113" s="173" t="s">
        <v>440</v>
      </c>
      <c r="H113" s="73"/>
      <c r="I113" s="170"/>
      <c r="J113" s="31">
        <v>46134</v>
      </c>
      <c r="K113" s="171"/>
      <c r="L113" s="172">
        <v>46113</v>
      </c>
      <c r="M113" s="171">
        <v>46142</v>
      </c>
      <c r="N113" s="27"/>
      <c r="O113" s="28"/>
      <c r="P113" s="72"/>
      <c r="Q113" s="74"/>
      <c r="R113" s="80"/>
      <c r="S113" s="80"/>
      <c r="T113" s="80"/>
      <c r="U113" s="80"/>
      <c r="V113" s="80"/>
      <c r="W113" s="80"/>
      <c r="X113" s="80"/>
      <c r="Y113" s="80"/>
      <c r="Z113" s="80"/>
      <c r="AA113" s="80"/>
      <c r="AB113" s="80"/>
      <c r="AC113" s="80"/>
      <c r="AD113" s="80"/>
      <c r="AE113" s="80"/>
      <c r="AF113" s="80"/>
      <c r="AG113" s="80"/>
      <c r="AH113" s="80"/>
      <c r="AI113" s="80"/>
      <c r="AJ113" s="80"/>
      <c r="AK113" s="80"/>
      <c r="AL113" s="80"/>
      <c r="AM113" s="80"/>
      <c r="AN113" s="80"/>
      <c r="AO113" s="80"/>
      <c r="AP113" s="80"/>
    </row>
    <row r="114" s="164" customFormat="1" spans="1:42">
      <c r="A114" s="72"/>
      <c r="B114" s="72"/>
      <c r="C114" s="72"/>
      <c r="D114" s="72"/>
      <c r="E114" s="72"/>
      <c r="F114" s="72"/>
      <c r="G114" s="173" t="s">
        <v>441</v>
      </c>
      <c r="H114" s="73"/>
      <c r="I114" s="170"/>
      <c r="J114" s="31">
        <v>46134</v>
      </c>
      <c r="K114" s="171"/>
      <c r="L114" s="172">
        <v>46113</v>
      </c>
      <c r="M114" s="171">
        <v>46142</v>
      </c>
      <c r="N114" s="27"/>
      <c r="O114" s="28"/>
      <c r="P114" s="72"/>
      <c r="Q114" s="74"/>
      <c r="R114" s="80"/>
      <c r="S114" s="80"/>
      <c r="T114" s="80"/>
      <c r="U114" s="80"/>
      <c r="V114" s="80"/>
      <c r="W114" s="80"/>
      <c r="X114" s="80"/>
      <c r="Y114" s="80"/>
      <c r="Z114" s="80"/>
      <c r="AA114" s="80"/>
      <c r="AB114" s="80"/>
      <c r="AC114" s="80"/>
      <c r="AD114" s="80"/>
      <c r="AE114" s="80"/>
      <c r="AF114" s="80"/>
      <c r="AG114" s="80"/>
      <c r="AH114" s="80"/>
      <c r="AI114" s="80"/>
      <c r="AJ114" s="80"/>
      <c r="AK114" s="80"/>
      <c r="AL114" s="80"/>
      <c r="AM114" s="80"/>
      <c r="AN114" s="80"/>
      <c r="AO114" s="80"/>
      <c r="AP114" s="80"/>
    </row>
    <row r="115" s="164" customFormat="1" spans="1:42">
      <c r="A115" s="72"/>
      <c r="B115" s="72"/>
      <c r="C115" s="72"/>
      <c r="D115" s="72"/>
      <c r="E115" s="72"/>
      <c r="F115" s="72"/>
      <c r="G115" s="173" t="s">
        <v>442</v>
      </c>
      <c r="H115" s="73"/>
      <c r="I115" s="170"/>
      <c r="J115" s="31">
        <v>46134</v>
      </c>
      <c r="K115" s="171"/>
      <c r="L115" s="172">
        <v>46113</v>
      </c>
      <c r="M115" s="171">
        <v>46142</v>
      </c>
      <c r="N115" s="27"/>
      <c r="O115" s="28"/>
      <c r="P115" s="72"/>
      <c r="Q115" s="74"/>
      <c r="R115" s="80"/>
      <c r="S115" s="80"/>
      <c r="T115" s="80"/>
      <c r="U115" s="80"/>
      <c r="V115" s="80"/>
      <c r="W115" s="80"/>
      <c r="X115" s="80"/>
      <c r="Y115" s="80"/>
      <c r="Z115" s="80"/>
      <c r="AA115" s="80"/>
      <c r="AB115" s="80"/>
      <c r="AC115" s="80"/>
      <c r="AD115" s="80"/>
      <c r="AE115" s="80"/>
      <c r="AF115" s="80"/>
      <c r="AG115" s="80"/>
      <c r="AH115" s="80"/>
      <c r="AI115" s="80"/>
      <c r="AJ115" s="80"/>
      <c r="AK115" s="80"/>
      <c r="AL115" s="80"/>
      <c r="AM115" s="80"/>
      <c r="AN115" s="80"/>
      <c r="AO115" s="80"/>
      <c r="AP115" s="80"/>
    </row>
    <row r="116" s="164" customFormat="1" spans="1:42">
      <c r="A116" s="72"/>
      <c r="B116" s="72"/>
      <c r="C116" s="72"/>
      <c r="D116" s="72"/>
      <c r="E116" s="72"/>
      <c r="F116" s="72"/>
      <c r="G116" s="173" t="s">
        <v>443</v>
      </c>
      <c r="H116" s="73"/>
      <c r="I116" s="170"/>
      <c r="J116" s="31">
        <v>46134</v>
      </c>
      <c r="K116" s="171"/>
      <c r="L116" s="172">
        <v>46113</v>
      </c>
      <c r="M116" s="171">
        <v>46142</v>
      </c>
      <c r="N116" s="27"/>
      <c r="O116" s="28"/>
      <c r="P116" s="72"/>
      <c r="Q116" s="74"/>
      <c r="R116" s="80"/>
      <c r="S116" s="80"/>
      <c r="T116" s="80"/>
      <c r="U116" s="80"/>
      <c r="V116" s="80"/>
      <c r="W116" s="80"/>
      <c r="X116" s="80"/>
      <c r="Y116" s="80"/>
      <c r="Z116" s="80"/>
      <c r="AA116" s="80"/>
      <c r="AB116" s="80"/>
      <c r="AC116" s="80"/>
      <c r="AD116" s="80"/>
      <c r="AE116" s="80"/>
      <c r="AF116" s="80"/>
      <c r="AG116" s="80"/>
      <c r="AH116" s="80"/>
      <c r="AI116" s="80"/>
      <c r="AJ116" s="80"/>
      <c r="AK116" s="80"/>
      <c r="AL116" s="80"/>
      <c r="AM116" s="80"/>
      <c r="AN116" s="80"/>
      <c r="AO116" s="80"/>
      <c r="AP116" s="80"/>
    </row>
    <row r="117" s="164" customFormat="1" spans="1:42">
      <c r="A117" s="72"/>
      <c r="B117" s="72"/>
      <c r="C117" s="72"/>
      <c r="D117" s="72"/>
      <c r="E117" s="72"/>
      <c r="F117" s="72"/>
      <c r="G117" s="173" t="s">
        <v>444</v>
      </c>
      <c r="H117" s="73"/>
      <c r="I117" s="170"/>
      <c r="J117" s="31">
        <v>46134</v>
      </c>
      <c r="K117" s="171"/>
      <c r="L117" s="172">
        <v>46113</v>
      </c>
      <c r="M117" s="171">
        <v>46142</v>
      </c>
      <c r="N117" s="27"/>
      <c r="O117" s="28"/>
      <c r="P117" s="72"/>
      <c r="Q117" s="74"/>
      <c r="R117" s="80"/>
      <c r="S117" s="80"/>
      <c r="T117" s="80"/>
      <c r="U117" s="80"/>
      <c r="V117" s="80"/>
      <c r="W117" s="80"/>
      <c r="X117" s="80"/>
      <c r="Y117" s="80"/>
      <c r="Z117" s="80"/>
      <c r="AA117" s="80"/>
      <c r="AB117" s="80"/>
      <c r="AC117" s="80"/>
      <c r="AD117" s="80"/>
      <c r="AE117" s="80"/>
      <c r="AF117" s="80"/>
      <c r="AG117" s="80"/>
      <c r="AH117" s="80"/>
      <c r="AI117" s="80"/>
      <c r="AJ117" s="80"/>
      <c r="AK117" s="80"/>
      <c r="AL117" s="80"/>
      <c r="AM117" s="80"/>
      <c r="AN117" s="80"/>
      <c r="AO117" s="80"/>
      <c r="AP117" s="80"/>
    </row>
    <row r="118" s="164" customFormat="1" spans="1:42">
      <c r="A118" s="72"/>
      <c r="B118" s="72"/>
      <c r="C118" s="72"/>
      <c r="D118" s="72"/>
      <c r="E118" s="72"/>
      <c r="F118" s="72"/>
      <c r="G118" s="173" t="s">
        <v>445</v>
      </c>
      <c r="H118" s="73"/>
      <c r="I118" s="170"/>
      <c r="J118" s="31">
        <v>46134</v>
      </c>
      <c r="K118" s="171"/>
      <c r="L118" s="172">
        <v>46113</v>
      </c>
      <c r="M118" s="171">
        <v>46142</v>
      </c>
      <c r="N118" s="27"/>
      <c r="O118" s="28"/>
      <c r="P118" s="72"/>
      <c r="Q118" s="74"/>
      <c r="R118" s="80"/>
      <c r="S118" s="80"/>
      <c r="T118" s="80"/>
      <c r="U118" s="80"/>
      <c r="V118" s="80"/>
      <c r="W118" s="80"/>
      <c r="X118" s="80"/>
      <c r="Y118" s="80"/>
      <c r="Z118" s="80"/>
      <c r="AA118" s="80"/>
      <c r="AB118" s="80"/>
      <c r="AC118" s="80"/>
      <c r="AD118" s="80"/>
      <c r="AE118" s="80"/>
      <c r="AF118" s="80"/>
      <c r="AG118" s="80"/>
      <c r="AH118" s="80"/>
      <c r="AI118" s="80"/>
      <c r="AJ118" s="80"/>
      <c r="AK118" s="80"/>
      <c r="AL118" s="80"/>
      <c r="AM118" s="80"/>
      <c r="AN118" s="80"/>
      <c r="AO118" s="80"/>
      <c r="AP118" s="80"/>
    </row>
    <row r="119" s="164" customFormat="1" spans="1:42">
      <c r="A119" s="72"/>
      <c r="B119" s="72"/>
      <c r="C119" s="72"/>
      <c r="D119" s="72"/>
      <c r="E119" s="72"/>
      <c r="F119" s="72"/>
      <c r="G119" s="173" t="s">
        <v>446</v>
      </c>
      <c r="H119" s="73"/>
      <c r="I119" s="170"/>
      <c r="J119" s="31">
        <v>46134</v>
      </c>
      <c r="K119" s="171"/>
      <c r="L119" s="172">
        <v>46113</v>
      </c>
      <c r="M119" s="171">
        <v>46142</v>
      </c>
      <c r="N119" s="27"/>
      <c r="O119" s="28"/>
      <c r="P119" s="72"/>
      <c r="Q119" s="74"/>
      <c r="R119" s="80"/>
      <c r="S119" s="80"/>
      <c r="T119" s="80"/>
      <c r="U119" s="80"/>
      <c r="V119" s="80"/>
      <c r="W119" s="80"/>
      <c r="X119" s="80"/>
      <c r="Y119" s="80"/>
      <c r="Z119" s="80"/>
      <c r="AA119" s="80"/>
      <c r="AB119" s="80"/>
      <c r="AC119" s="80"/>
      <c r="AD119" s="80"/>
      <c r="AE119" s="80"/>
      <c r="AF119" s="80"/>
      <c r="AG119" s="80"/>
      <c r="AH119" s="80"/>
      <c r="AI119" s="80"/>
      <c r="AJ119" s="80"/>
      <c r="AK119" s="80"/>
      <c r="AL119" s="80"/>
      <c r="AM119" s="80"/>
      <c r="AN119" s="80"/>
      <c r="AO119" s="80"/>
      <c r="AP119" s="80"/>
    </row>
    <row r="120" s="164" customFormat="1" spans="1:42">
      <c r="A120" s="72"/>
      <c r="B120" s="72"/>
      <c r="C120" s="72"/>
      <c r="D120" s="72"/>
      <c r="E120" s="72"/>
      <c r="F120" s="72"/>
      <c r="G120" s="173" t="s">
        <v>447</v>
      </c>
      <c r="H120" s="73"/>
      <c r="I120" s="170"/>
      <c r="J120" s="31">
        <v>46134</v>
      </c>
      <c r="K120" s="171"/>
      <c r="L120" s="172">
        <v>46113</v>
      </c>
      <c r="M120" s="171">
        <v>46142</v>
      </c>
      <c r="N120" s="27"/>
      <c r="O120" s="28"/>
      <c r="P120" s="72"/>
      <c r="Q120" s="74"/>
      <c r="R120" s="80"/>
      <c r="S120" s="80"/>
      <c r="T120" s="80"/>
      <c r="U120" s="80"/>
      <c r="V120" s="80"/>
      <c r="W120" s="80"/>
      <c r="X120" s="80"/>
      <c r="Y120" s="80"/>
      <c r="Z120" s="80"/>
      <c r="AA120" s="80"/>
      <c r="AB120" s="80"/>
      <c r="AC120" s="80"/>
      <c r="AD120" s="80"/>
      <c r="AE120" s="80"/>
      <c r="AF120" s="80"/>
      <c r="AG120" s="80"/>
      <c r="AH120" s="80"/>
      <c r="AI120" s="80"/>
      <c r="AJ120" s="80"/>
      <c r="AK120" s="80"/>
      <c r="AL120" s="80"/>
      <c r="AM120" s="80"/>
      <c r="AN120" s="80"/>
      <c r="AO120" s="80"/>
      <c r="AP120" s="80"/>
    </row>
    <row r="121" s="164" customFormat="1" spans="1:42">
      <c r="A121" s="72"/>
      <c r="B121" s="72"/>
      <c r="C121" s="72"/>
      <c r="D121" s="72"/>
      <c r="E121" s="72"/>
      <c r="F121" s="72"/>
      <c r="G121" s="173" t="s">
        <v>448</v>
      </c>
      <c r="H121" s="73"/>
      <c r="I121" s="170"/>
      <c r="J121" s="31">
        <v>46134</v>
      </c>
      <c r="K121" s="171"/>
      <c r="L121" s="172">
        <v>46113</v>
      </c>
      <c r="M121" s="171">
        <v>46142</v>
      </c>
      <c r="N121" s="27"/>
      <c r="O121" s="28"/>
      <c r="P121" s="72"/>
      <c r="Q121" s="74"/>
      <c r="R121" s="80"/>
      <c r="S121" s="80"/>
      <c r="T121" s="80"/>
      <c r="U121" s="80"/>
      <c r="V121" s="80"/>
      <c r="W121" s="80"/>
      <c r="X121" s="80"/>
      <c r="Y121" s="80"/>
      <c r="Z121" s="80"/>
      <c r="AA121" s="80"/>
      <c r="AB121" s="80"/>
      <c r="AC121" s="80"/>
      <c r="AD121" s="80"/>
      <c r="AE121" s="80"/>
      <c r="AF121" s="80"/>
      <c r="AG121" s="80"/>
      <c r="AH121" s="80"/>
      <c r="AI121" s="80"/>
      <c r="AJ121" s="80"/>
      <c r="AK121" s="80"/>
      <c r="AL121" s="80"/>
      <c r="AM121" s="80"/>
      <c r="AN121" s="80"/>
      <c r="AO121" s="80"/>
      <c r="AP121" s="80"/>
    </row>
    <row r="122" s="164" customFormat="1" spans="1:42">
      <c r="A122" s="72"/>
      <c r="B122" s="72"/>
      <c r="C122" s="72"/>
      <c r="D122" s="72"/>
      <c r="E122" s="72"/>
      <c r="F122" s="72"/>
      <c r="G122" s="173" t="s">
        <v>449</v>
      </c>
      <c r="H122" s="73"/>
      <c r="I122" s="170"/>
      <c r="J122" s="31">
        <v>46134</v>
      </c>
      <c r="K122" s="171"/>
      <c r="L122" s="172">
        <v>46113</v>
      </c>
      <c r="M122" s="171">
        <v>46142</v>
      </c>
      <c r="N122" s="27"/>
      <c r="O122" s="28"/>
      <c r="P122" s="72"/>
      <c r="Q122" s="74"/>
      <c r="R122" s="80"/>
      <c r="S122" s="80"/>
      <c r="T122" s="80"/>
      <c r="U122" s="80"/>
      <c r="V122" s="80"/>
      <c r="W122" s="80"/>
      <c r="X122" s="80"/>
      <c r="Y122" s="80"/>
      <c r="Z122" s="80"/>
      <c r="AA122" s="80"/>
      <c r="AB122" s="80"/>
      <c r="AC122" s="80"/>
      <c r="AD122" s="80"/>
      <c r="AE122" s="80"/>
      <c r="AF122" s="80"/>
      <c r="AG122" s="80"/>
      <c r="AH122" s="80"/>
      <c r="AI122" s="80"/>
      <c r="AJ122" s="80"/>
      <c r="AK122" s="80"/>
      <c r="AL122" s="80"/>
      <c r="AM122" s="80"/>
      <c r="AN122" s="80"/>
      <c r="AO122" s="80"/>
      <c r="AP122" s="80"/>
    </row>
    <row r="123" s="164" customFormat="1" spans="1:42">
      <c r="A123" s="72"/>
      <c r="B123" s="72"/>
      <c r="C123" s="72"/>
      <c r="D123" s="72">
        <v>1</v>
      </c>
      <c r="E123" s="72" t="s">
        <v>53</v>
      </c>
      <c r="F123" s="72">
        <v>1.95</v>
      </c>
      <c r="G123" s="173" t="s">
        <v>450</v>
      </c>
      <c r="H123" s="73"/>
      <c r="I123" s="170">
        <v>46059</v>
      </c>
      <c r="J123" s="31">
        <v>46134</v>
      </c>
      <c r="K123" s="171">
        <f t="shared" ref="K123:K135" si="6">I123+90</f>
        <v>46149</v>
      </c>
      <c r="L123" s="172">
        <v>46113</v>
      </c>
      <c r="M123" s="171">
        <v>46142</v>
      </c>
      <c r="N123" s="164">
        <v>21</v>
      </c>
      <c r="O123" s="164">
        <f t="shared" ref="O123:O135" si="7">N123*F123*D123</f>
        <v>40.95</v>
      </c>
      <c r="P123" s="73">
        <v>0</v>
      </c>
      <c r="Q123" s="74">
        <v>0</v>
      </c>
      <c r="R123" s="80"/>
      <c r="S123" s="80"/>
      <c r="T123" s="80"/>
      <c r="U123" s="80"/>
      <c r="V123" s="80"/>
      <c r="W123" s="80"/>
      <c r="X123" s="80"/>
      <c r="Y123" s="80"/>
      <c r="Z123" s="80"/>
      <c r="AA123" s="80"/>
      <c r="AB123" s="80"/>
      <c r="AC123" s="80"/>
      <c r="AD123" s="80"/>
      <c r="AE123" s="80"/>
      <c r="AF123" s="80"/>
      <c r="AG123" s="80"/>
      <c r="AH123" s="80"/>
      <c r="AI123" s="80"/>
      <c r="AJ123" s="80"/>
      <c r="AK123" s="80"/>
      <c r="AL123" s="80"/>
      <c r="AM123" s="80"/>
      <c r="AN123" s="80"/>
      <c r="AO123" s="80"/>
      <c r="AP123" s="80"/>
    </row>
    <row r="124" s="164" customFormat="1" spans="1:42">
      <c r="A124" s="72">
        <v>35</v>
      </c>
      <c r="B124" s="72" t="s">
        <v>51</v>
      </c>
      <c r="C124" s="72" t="s">
        <v>54</v>
      </c>
      <c r="D124" s="72">
        <v>1</v>
      </c>
      <c r="E124" s="72" t="s">
        <v>53</v>
      </c>
      <c r="F124" s="72">
        <v>1.95</v>
      </c>
      <c r="G124" s="173" t="s">
        <v>451</v>
      </c>
      <c r="H124" s="73"/>
      <c r="I124" s="170">
        <v>46059</v>
      </c>
      <c r="J124" s="31">
        <v>46134</v>
      </c>
      <c r="K124" s="171">
        <f t="shared" si="6"/>
        <v>46149</v>
      </c>
      <c r="L124" s="172">
        <v>46113</v>
      </c>
      <c r="M124" s="171">
        <v>46142</v>
      </c>
      <c r="N124" s="164">
        <v>21</v>
      </c>
      <c r="O124" s="164">
        <f t="shared" si="7"/>
        <v>40.95</v>
      </c>
      <c r="P124" s="73">
        <v>0</v>
      </c>
      <c r="Q124" s="74">
        <v>0</v>
      </c>
      <c r="R124" s="80"/>
      <c r="S124" s="80"/>
      <c r="T124" s="80"/>
      <c r="U124" s="80"/>
      <c r="V124" s="80"/>
      <c r="W124" s="80"/>
      <c r="X124" s="80"/>
      <c r="Y124" s="80"/>
      <c r="Z124" s="80"/>
      <c r="AA124" s="80"/>
      <c r="AB124" s="80"/>
      <c r="AC124" s="80"/>
      <c r="AD124" s="80"/>
      <c r="AE124" s="80"/>
      <c r="AF124" s="80"/>
      <c r="AG124" s="80"/>
      <c r="AH124" s="80"/>
      <c r="AI124" s="80"/>
      <c r="AJ124" s="80"/>
      <c r="AK124" s="80"/>
      <c r="AL124" s="80"/>
      <c r="AM124" s="80"/>
      <c r="AN124" s="80"/>
      <c r="AO124" s="80"/>
      <c r="AP124" s="80"/>
    </row>
    <row r="125" s="164" customFormat="1" spans="1:42">
      <c r="A125" s="72"/>
      <c r="B125" s="72" t="s">
        <v>51</v>
      </c>
      <c r="C125" s="72" t="s">
        <v>54</v>
      </c>
      <c r="D125" s="72">
        <v>1</v>
      </c>
      <c r="E125" s="72" t="s">
        <v>53</v>
      </c>
      <c r="F125" s="72">
        <v>1.95</v>
      </c>
      <c r="G125" s="173" t="s">
        <v>452</v>
      </c>
      <c r="H125" s="73"/>
      <c r="I125" s="170">
        <v>46059</v>
      </c>
      <c r="J125" s="31">
        <v>46134</v>
      </c>
      <c r="K125" s="171">
        <f t="shared" si="6"/>
        <v>46149</v>
      </c>
      <c r="L125" s="172">
        <v>46113</v>
      </c>
      <c r="M125" s="171">
        <v>46142</v>
      </c>
      <c r="N125" s="164">
        <v>21</v>
      </c>
      <c r="O125" s="164">
        <f t="shared" si="7"/>
        <v>40.95</v>
      </c>
      <c r="P125" s="73">
        <v>0</v>
      </c>
      <c r="Q125" s="74">
        <v>0</v>
      </c>
      <c r="R125" s="80"/>
      <c r="S125" s="80"/>
      <c r="T125" s="80"/>
      <c r="U125" s="80"/>
      <c r="V125" s="80"/>
      <c r="W125" s="80"/>
      <c r="X125" s="80"/>
      <c r="Y125" s="80"/>
      <c r="Z125" s="80"/>
      <c r="AA125" s="80"/>
      <c r="AB125" s="80"/>
      <c r="AC125" s="80"/>
      <c r="AD125" s="80"/>
      <c r="AE125" s="80"/>
      <c r="AF125" s="80"/>
      <c r="AG125" s="80"/>
      <c r="AH125" s="80"/>
      <c r="AI125" s="80"/>
      <c r="AJ125" s="80"/>
      <c r="AK125" s="80"/>
      <c r="AL125" s="80"/>
      <c r="AM125" s="80"/>
      <c r="AN125" s="80"/>
      <c r="AO125" s="80"/>
      <c r="AP125" s="80"/>
    </row>
    <row r="126" s="164" customFormat="1" spans="1:42">
      <c r="A126" s="72"/>
      <c r="B126" s="72" t="s">
        <v>51</v>
      </c>
      <c r="C126" s="72" t="s">
        <v>54</v>
      </c>
      <c r="D126" s="72">
        <v>1</v>
      </c>
      <c r="E126" s="72" t="s">
        <v>53</v>
      </c>
      <c r="F126" s="72">
        <v>1.95</v>
      </c>
      <c r="G126" s="173" t="s">
        <v>453</v>
      </c>
      <c r="H126" s="73"/>
      <c r="I126" s="170">
        <v>46059</v>
      </c>
      <c r="J126" s="31">
        <v>46134</v>
      </c>
      <c r="K126" s="171">
        <f t="shared" si="6"/>
        <v>46149</v>
      </c>
      <c r="L126" s="172">
        <v>46113</v>
      </c>
      <c r="M126" s="171">
        <v>46142</v>
      </c>
      <c r="N126" s="164">
        <v>21</v>
      </c>
      <c r="O126" s="164">
        <f t="shared" si="7"/>
        <v>40.95</v>
      </c>
      <c r="P126" s="73">
        <v>0</v>
      </c>
      <c r="Q126" s="74">
        <v>0</v>
      </c>
      <c r="R126" s="80"/>
      <c r="S126" s="80"/>
      <c r="T126" s="80"/>
      <c r="U126" s="80"/>
      <c r="V126" s="80"/>
      <c r="W126" s="80"/>
      <c r="X126" s="80"/>
      <c r="Y126" s="80"/>
      <c r="Z126" s="80"/>
      <c r="AA126" s="80"/>
      <c r="AB126" s="80"/>
      <c r="AC126" s="80"/>
      <c r="AD126" s="80"/>
      <c r="AE126" s="80"/>
      <c r="AF126" s="80"/>
      <c r="AG126" s="80"/>
      <c r="AH126" s="80"/>
      <c r="AI126" s="80"/>
      <c r="AJ126" s="80"/>
      <c r="AK126" s="80"/>
      <c r="AL126" s="80"/>
      <c r="AM126" s="80"/>
      <c r="AN126" s="80"/>
      <c r="AO126" s="80"/>
      <c r="AP126" s="80"/>
    </row>
    <row r="127" s="164" customFormat="1" spans="1:42">
      <c r="A127" s="72"/>
      <c r="B127" s="72" t="s">
        <v>51</v>
      </c>
      <c r="C127" s="72" t="s">
        <v>54</v>
      </c>
      <c r="D127" s="72">
        <v>1</v>
      </c>
      <c r="E127" s="72" t="s">
        <v>53</v>
      </c>
      <c r="F127" s="72">
        <v>1.95</v>
      </c>
      <c r="G127" s="173" t="s">
        <v>454</v>
      </c>
      <c r="H127" s="73"/>
      <c r="I127" s="170">
        <v>46059</v>
      </c>
      <c r="J127" s="31">
        <v>46134</v>
      </c>
      <c r="K127" s="171">
        <f t="shared" si="6"/>
        <v>46149</v>
      </c>
      <c r="L127" s="172">
        <v>46113</v>
      </c>
      <c r="M127" s="171">
        <v>46142</v>
      </c>
      <c r="N127" s="164">
        <v>21</v>
      </c>
      <c r="O127" s="164">
        <f t="shared" si="7"/>
        <v>40.95</v>
      </c>
      <c r="P127" s="73">
        <v>0</v>
      </c>
      <c r="Q127" s="74">
        <v>0</v>
      </c>
      <c r="R127" s="80"/>
      <c r="S127" s="80"/>
      <c r="T127" s="80"/>
      <c r="U127" s="80"/>
      <c r="V127" s="80"/>
      <c r="W127" s="80"/>
      <c r="X127" s="80"/>
      <c r="Y127" s="80"/>
      <c r="Z127" s="80"/>
      <c r="AA127" s="80"/>
      <c r="AB127" s="80"/>
      <c r="AC127" s="80"/>
      <c r="AD127" s="80"/>
      <c r="AE127" s="80"/>
      <c r="AF127" s="80"/>
      <c r="AG127" s="80"/>
      <c r="AH127" s="80"/>
      <c r="AI127" s="80"/>
      <c r="AJ127" s="80"/>
      <c r="AK127" s="80"/>
      <c r="AL127" s="80"/>
      <c r="AM127" s="80"/>
      <c r="AN127" s="80"/>
      <c r="AO127" s="80"/>
      <c r="AP127" s="80"/>
    </row>
    <row r="128" spans="1:42">
      <c r="A128" s="27"/>
      <c r="B128" s="27" t="s">
        <v>51</v>
      </c>
      <c r="C128" s="27" t="s">
        <v>54</v>
      </c>
      <c r="D128" s="29">
        <v>1</v>
      </c>
      <c r="E128" s="29" t="s">
        <v>53</v>
      </c>
      <c r="F128" s="29">
        <v>1.95</v>
      </c>
      <c r="G128" s="174" t="s">
        <v>455</v>
      </c>
      <c r="H128" s="29"/>
      <c r="I128" s="39">
        <v>46059</v>
      </c>
      <c r="J128" s="38"/>
      <c r="K128" s="38">
        <f t="shared" si="6"/>
        <v>46149</v>
      </c>
      <c r="L128" s="169">
        <v>46113</v>
      </c>
      <c r="M128" s="38">
        <v>46142</v>
      </c>
      <c r="N128" s="164">
        <v>30</v>
      </c>
      <c r="O128" s="164">
        <f t="shared" si="7"/>
        <v>58.5</v>
      </c>
      <c r="P128" s="29">
        <v>0</v>
      </c>
      <c r="Q128" s="33">
        <v>0</v>
      </c>
    </row>
    <row r="129" spans="1:17">
      <c r="A129" s="27">
        <v>35</v>
      </c>
      <c r="B129" s="27" t="s">
        <v>51</v>
      </c>
      <c r="C129" s="27" t="s">
        <v>54</v>
      </c>
      <c r="D129" s="27">
        <v>1</v>
      </c>
      <c r="E129" s="27" t="s">
        <v>53</v>
      </c>
      <c r="F129" s="27">
        <v>1.95</v>
      </c>
      <c r="G129" s="174" t="s">
        <v>456</v>
      </c>
      <c r="H129" s="29"/>
      <c r="I129" s="39">
        <v>46099</v>
      </c>
      <c r="J129" s="29"/>
      <c r="K129" s="38">
        <f t="shared" si="6"/>
        <v>46189</v>
      </c>
      <c r="L129" s="169">
        <v>46113</v>
      </c>
      <c r="M129" s="38">
        <v>46142</v>
      </c>
      <c r="N129" s="164">
        <v>30</v>
      </c>
      <c r="O129" s="164">
        <f t="shared" si="7"/>
        <v>58.5</v>
      </c>
      <c r="P129" s="29">
        <v>0</v>
      </c>
      <c r="Q129" s="37">
        <f t="shared" ref="Q129:Q134" si="8">F129*P129*D129</f>
        <v>0</v>
      </c>
    </row>
    <row r="130" spans="1:17">
      <c r="A130" s="175"/>
      <c r="B130" s="27" t="s">
        <v>51</v>
      </c>
      <c r="C130" s="27" t="s">
        <v>54</v>
      </c>
      <c r="D130" s="27">
        <v>1</v>
      </c>
      <c r="E130" s="27" t="s">
        <v>53</v>
      </c>
      <c r="F130" s="27">
        <v>1.95</v>
      </c>
      <c r="G130" s="174" t="s">
        <v>457</v>
      </c>
      <c r="H130" s="29"/>
      <c r="I130" s="39">
        <v>46099</v>
      </c>
      <c r="J130" s="29"/>
      <c r="K130" s="38">
        <f t="shared" si="6"/>
        <v>46189</v>
      </c>
      <c r="L130" s="169">
        <v>46113</v>
      </c>
      <c r="M130" s="38">
        <v>46142</v>
      </c>
      <c r="N130" s="164">
        <v>30</v>
      </c>
      <c r="O130" s="164">
        <f t="shared" si="7"/>
        <v>58.5</v>
      </c>
      <c r="P130" s="29">
        <v>0</v>
      </c>
      <c r="Q130" s="37">
        <f t="shared" si="8"/>
        <v>0</v>
      </c>
    </row>
    <row r="131" spans="1:17">
      <c r="A131" s="175"/>
      <c r="B131" s="27" t="s">
        <v>51</v>
      </c>
      <c r="C131" s="27" t="s">
        <v>54</v>
      </c>
      <c r="D131" s="27">
        <v>1</v>
      </c>
      <c r="E131" s="27" t="s">
        <v>53</v>
      </c>
      <c r="F131" s="27">
        <v>1.95</v>
      </c>
      <c r="G131" s="174" t="s">
        <v>458</v>
      </c>
      <c r="H131" s="29"/>
      <c r="I131" s="39">
        <v>46099</v>
      </c>
      <c r="J131" s="29"/>
      <c r="K131" s="38">
        <f t="shared" si="6"/>
        <v>46189</v>
      </c>
      <c r="L131" s="169">
        <v>46113</v>
      </c>
      <c r="M131" s="38">
        <v>46142</v>
      </c>
      <c r="N131" s="164">
        <v>30</v>
      </c>
      <c r="O131" s="164">
        <f t="shared" si="7"/>
        <v>58.5</v>
      </c>
      <c r="P131" s="29">
        <v>0</v>
      </c>
      <c r="Q131" s="37">
        <f t="shared" si="8"/>
        <v>0</v>
      </c>
    </row>
    <row r="132" spans="1:17">
      <c r="A132" s="175"/>
      <c r="B132" s="27" t="s">
        <v>51</v>
      </c>
      <c r="C132" s="27" t="s">
        <v>54</v>
      </c>
      <c r="D132" s="27">
        <v>1</v>
      </c>
      <c r="E132" s="27" t="s">
        <v>53</v>
      </c>
      <c r="F132" s="27">
        <v>1.95</v>
      </c>
      <c r="G132" s="174" t="s">
        <v>459</v>
      </c>
      <c r="H132" s="29"/>
      <c r="I132" s="39">
        <v>46099</v>
      </c>
      <c r="J132" s="29"/>
      <c r="K132" s="38">
        <f t="shared" si="6"/>
        <v>46189</v>
      </c>
      <c r="L132" s="169">
        <v>46113</v>
      </c>
      <c r="M132" s="38">
        <v>46142</v>
      </c>
      <c r="N132" s="164">
        <v>30</v>
      </c>
      <c r="O132" s="164">
        <f t="shared" si="7"/>
        <v>58.5</v>
      </c>
      <c r="P132" s="29">
        <v>0</v>
      </c>
      <c r="Q132" s="37">
        <f t="shared" si="8"/>
        <v>0</v>
      </c>
    </row>
    <row r="133" spans="1:17">
      <c r="A133" s="175"/>
      <c r="B133" s="27" t="s">
        <v>51</v>
      </c>
      <c r="C133" s="27" t="s">
        <v>54</v>
      </c>
      <c r="D133" s="29">
        <v>1</v>
      </c>
      <c r="E133" s="29" t="s">
        <v>53</v>
      </c>
      <c r="F133" s="29">
        <v>1.95</v>
      </c>
      <c r="G133" s="174" t="s">
        <v>460</v>
      </c>
      <c r="H133" s="29"/>
      <c r="I133" s="39">
        <v>46099</v>
      </c>
      <c r="J133" s="29"/>
      <c r="K133" s="38">
        <f t="shared" si="6"/>
        <v>46189</v>
      </c>
      <c r="L133" s="169">
        <v>46113</v>
      </c>
      <c r="M133" s="38">
        <v>46142</v>
      </c>
      <c r="N133" s="164">
        <v>30</v>
      </c>
      <c r="O133" s="164">
        <f t="shared" si="7"/>
        <v>58.5</v>
      </c>
      <c r="P133" s="29">
        <v>0</v>
      </c>
      <c r="Q133" s="37">
        <f t="shared" si="8"/>
        <v>0</v>
      </c>
    </row>
    <row r="134" spans="1:17">
      <c r="A134" s="175"/>
      <c r="B134" s="27" t="s">
        <v>51</v>
      </c>
      <c r="C134" s="27" t="s">
        <v>54</v>
      </c>
      <c r="D134" s="27">
        <v>1</v>
      </c>
      <c r="E134" s="27" t="s">
        <v>53</v>
      </c>
      <c r="F134" s="27">
        <v>1.95</v>
      </c>
      <c r="G134" s="176" t="s">
        <v>461</v>
      </c>
      <c r="H134" s="29"/>
      <c r="I134" s="39">
        <v>46099</v>
      </c>
      <c r="J134" s="29"/>
      <c r="K134" s="38">
        <f t="shared" si="6"/>
        <v>46189</v>
      </c>
      <c r="L134" s="169">
        <v>46113</v>
      </c>
      <c r="M134" s="38">
        <v>46142</v>
      </c>
      <c r="N134" s="164">
        <v>30</v>
      </c>
      <c r="O134" s="164">
        <f t="shared" si="7"/>
        <v>58.5</v>
      </c>
      <c r="P134" s="29">
        <v>0</v>
      </c>
      <c r="Q134" s="37">
        <f t="shared" si="8"/>
        <v>0</v>
      </c>
    </row>
    <row r="135" spans="1:17">
      <c r="A135" s="27">
        <v>36</v>
      </c>
      <c r="B135" s="27" t="s">
        <v>51</v>
      </c>
      <c r="C135" s="27" t="s">
        <v>52</v>
      </c>
      <c r="D135" s="27">
        <v>1</v>
      </c>
      <c r="E135" s="27" t="s">
        <v>53</v>
      </c>
      <c r="F135" s="27">
        <v>25.62</v>
      </c>
      <c r="G135" s="174" t="s">
        <v>462</v>
      </c>
      <c r="H135" s="29"/>
      <c r="I135" s="39">
        <v>46111</v>
      </c>
      <c r="J135" s="29"/>
      <c r="K135" s="38">
        <f t="shared" si="6"/>
        <v>46201</v>
      </c>
      <c r="L135" s="177">
        <v>46113</v>
      </c>
      <c r="M135" s="178">
        <v>46142</v>
      </c>
      <c r="N135" s="27">
        <v>30</v>
      </c>
      <c r="O135" s="28">
        <f t="shared" si="7"/>
        <v>768.6</v>
      </c>
      <c r="P135" s="179">
        <v>0</v>
      </c>
      <c r="Q135" s="179">
        <v>0</v>
      </c>
    </row>
    <row r="136" spans="1:17">
      <c r="A136" s="27"/>
      <c r="B136" s="27"/>
      <c r="C136" s="27"/>
      <c r="D136" s="27"/>
      <c r="E136" s="27"/>
      <c r="F136" s="27"/>
      <c r="G136" s="174" t="s">
        <v>463</v>
      </c>
      <c r="H136" s="29"/>
      <c r="I136" s="39"/>
      <c r="J136" s="29"/>
      <c r="K136" s="38"/>
      <c r="L136" s="180"/>
      <c r="M136" s="181"/>
      <c r="N136" s="27"/>
      <c r="O136" s="28"/>
      <c r="P136" s="182"/>
      <c r="Q136" s="182"/>
    </row>
    <row r="137" spans="1:17">
      <c r="A137" s="27"/>
      <c r="B137" s="27"/>
      <c r="C137" s="27"/>
      <c r="D137" s="27"/>
      <c r="E137" s="27"/>
      <c r="F137" s="27"/>
      <c r="G137" s="174" t="s">
        <v>464</v>
      </c>
      <c r="H137" s="29"/>
      <c r="I137" s="39"/>
      <c r="J137" s="29"/>
      <c r="K137" s="38"/>
      <c r="L137" s="180"/>
      <c r="M137" s="181"/>
      <c r="N137" s="27"/>
      <c r="O137" s="28"/>
      <c r="P137" s="182"/>
      <c r="Q137" s="182"/>
    </row>
    <row r="138" spans="1:17">
      <c r="A138" s="27"/>
      <c r="B138" s="27"/>
      <c r="C138" s="27"/>
      <c r="D138" s="27"/>
      <c r="E138" s="27"/>
      <c r="F138" s="27"/>
      <c r="G138" s="176" t="s">
        <v>465</v>
      </c>
      <c r="H138" s="29"/>
      <c r="I138" s="39"/>
      <c r="J138" s="29"/>
      <c r="K138" s="38"/>
      <c r="L138" s="180"/>
      <c r="M138" s="181"/>
      <c r="N138" s="27"/>
      <c r="O138" s="28"/>
      <c r="P138" s="182"/>
      <c r="Q138" s="182"/>
    </row>
    <row r="139" spans="1:17">
      <c r="A139" s="27"/>
      <c r="B139" s="27"/>
      <c r="C139" s="27"/>
      <c r="D139" s="27"/>
      <c r="E139" s="27"/>
      <c r="F139" s="27"/>
      <c r="G139" s="174" t="s">
        <v>466</v>
      </c>
      <c r="H139" s="29"/>
      <c r="I139" s="39"/>
      <c r="J139" s="29"/>
      <c r="K139" s="38"/>
      <c r="L139" s="180"/>
      <c r="M139" s="181"/>
      <c r="N139" s="27"/>
      <c r="O139" s="28"/>
      <c r="P139" s="182"/>
      <c r="Q139" s="182"/>
    </row>
    <row r="140" spans="1:17">
      <c r="A140" s="27"/>
      <c r="B140" s="27"/>
      <c r="C140" s="27"/>
      <c r="D140" s="27"/>
      <c r="E140" s="27"/>
      <c r="F140" s="27"/>
      <c r="G140" s="174" t="s">
        <v>467</v>
      </c>
      <c r="H140" s="29"/>
      <c r="I140" s="39"/>
      <c r="J140" s="29"/>
      <c r="K140" s="38"/>
      <c r="L140" s="180"/>
      <c r="M140" s="181"/>
      <c r="N140" s="27"/>
      <c r="O140" s="28"/>
      <c r="P140" s="182"/>
      <c r="Q140" s="182"/>
    </row>
    <row r="141" spans="1:17">
      <c r="A141" s="27"/>
      <c r="B141" s="27"/>
      <c r="C141" s="27"/>
      <c r="D141" s="27"/>
      <c r="E141" s="27"/>
      <c r="F141" s="27"/>
      <c r="G141" s="174" t="s">
        <v>468</v>
      </c>
      <c r="H141" s="29"/>
      <c r="I141" s="39"/>
      <c r="J141" s="29"/>
      <c r="K141" s="38"/>
      <c r="L141" s="180"/>
      <c r="M141" s="181"/>
      <c r="N141" s="27"/>
      <c r="O141" s="28"/>
      <c r="P141" s="182"/>
      <c r="Q141" s="182"/>
    </row>
    <row r="142" spans="1:17">
      <c r="A142" s="27"/>
      <c r="B142" s="27"/>
      <c r="C142" s="27"/>
      <c r="D142" s="27"/>
      <c r="E142" s="27"/>
      <c r="F142" s="27"/>
      <c r="G142" s="174" t="s">
        <v>469</v>
      </c>
      <c r="H142" s="29"/>
      <c r="I142" s="39"/>
      <c r="J142" s="29"/>
      <c r="K142" s="38"/>
      <c r="L142" s="180"/>
      <c r="M142" s="181"/>
      <c r="N142" s="27"/>
      <c r="O142" s="28"/>
      <c r="P142" s="182"/>
      <c r="Q142" s="182"/>
    </row>
    <row r="143" spans="1:17">
      <c r="A143" s="27"/>
      <c r="B143" s="27"/>
      <c r="C143" s="27"/>
      <c r="D143" s="27"/>
      <c r="E143" s="27"/>
      <c r="F143" s="27"/>
      <c r="G143" s="174" t="s">
        <v>470</v>
      </c>
      <c r="H143" s="29"/>
      <c r="I143" s="39"/>
      <c r="J143" s="29"/>
      <c r="K143" s="38"/>
      <c r="L143" s="180"/>
      <c r="M143" s="181"/>
      <c r="N143" s="27"/>
      <c r="O143" s="28"/>
      <c r="P143" s="182"/>
      <c r="Q143" s="182"/>
    </row>
    <row r="144" spans="1:17">
      <c r="A144" s="27"/>
      <c r="B144" s="27"/>
      <c r="C144" s="27"/>
      <c r="D144" s="27"/>
      <c r="E144" s="27"/>
      <c r="F144" s="27"/>
      <c r="G144" s="174" t="s">
        <v>471</v>
      </c>
      <c r="H144" s="29"/>
      <c r="I144" s="39"/>
      <c r="J144" s="29"/>
      <c r="K144" s="38"/>
      <c r="L144" s="180"/>
      <c r="M144" s="181"/>
      <c r="N144" s="27"/>
      <c r="O144" s="28"/>
      <c r="P144" s="182"/>
      <c r="Q144" s="182"/>
    </row>
    <row r="145" spans="1:17">
      <c r="A145" s="27"/>
      <c r="B145" s="27"/>
      <c r="C145" s="27"/>
      <c r="D145" s="27"/>
      <c r="E145" s="27"/>
      <c r="F145" s="27"/>
      <c r="G145" s="174" t="s">
        <v>472</v>
      </c>
      <c r="H145" s="29"/>
      <c r="I145" s="39"/>
      <c r="J145" s="29"/>
      <c r="K145" s="38"/>
      <c r="L145" s="180"/>
      <c r="M145" s="181"/>
      <c r="N145" s="27"/>
      <c r="O145" s="28"/>
      <c r="P145" s="182"/>
      <c r="Q145" s="182"/>
    </row>
    <row r="146" spans="1:17">
      <c r="A146" s="27"/>
      <c r="B146" s="27"/>
      <c r="C146" s="27"/>
      <c r="D146" s="27"/>
      <c r="E146" s="27"/>
      <c r="F146" s="27"/>
      <c r="G146" s="174" t="s">
        <v>473</v>
      </c>
      <c r="H146" s="29"/>
      <c r="I146" s="39"/>
      <c r="J146" s="29"/>
      <c r="K146" s="38"/>
      <c r="L146" s="180"/>
      <c r="M146" s="181"/>
      <c r="N146" s="27"/>
      <c r="O146" s="28"/>
      <c r="P146" s="182"/>
      <c r="Q146" s="182"/>
    </row>
    <row r="147" spans="1:17">
      <c r="A147" s="27"/>
      <c r="B147" s="27"/>
      <c r="C147" s="27"/>
      <c r="D147" s="27"/>
      <c r="E147" s="27"/>
      <c r="F147" s="27"/>
      <c r="G147" s="174" t="s">
        <v>474</v>
      </c>
      <c r="H147" s="29"/>
      <c r="I147" s="39"/>
      <c r="J147" s="29"/>
      <c r="K147" s="38"/>
      <c r="L147" s="180"/>
      <c r="M147" s="181"/>
      <c r="N147" s="27"/>
      <c r="O147" s="28"/>
      <c r="P147" s="182"/>
      <c r="Q147" s="182"/>
    </row>
    <row r="148" spans="1:17">
      <c r="A148" s="27"/>
      <c r="B148" s="27"/>
      <c r="C148" s="27"/>
      <c r="D148" s="27"/>
      <c r="E148" s="27"/>
      <c r="F148" s="27"/>
      <c r="G148" s="174" t="s">
        <v>475</v>
      </c>
      <c r="H148" s="29"/>
      <c r="I148" s="39"/>
      <c r="J148" s="29"/>
      <c r="K148" s="38"/>
      <c r="L148" s="180"/>
      <c r="M148" s="181"/>
      <c r="N148" s="27"/>
      <c r="O148" s="28"/>
      <c r="P148" s="182"/>
      <c r="Q148" s="182"/>
    </row>
    <row r="149" spans="1:17">
      <c r="A149" s="27"/>
      <c r="B149" s="27"/>
      <c r="C149" s="27"/>
      <c r="D149" s="27"/>
      <c r="E149" s="27"/>
      <c r="F149" s="27"/>
      <c r="G149" s="174" t="s">
        <v>476</v>
      </c>
      <c r="H149" s="29"/>
      <c r="I149" s="39"/>
      <c r="J149" s="29"/>
      <c r="K149" s="38"/>
      <c r="L149" s="180"/>
      <c r="M149" s="181"/>
      <c r="N149" s="27"/>
      <c r="O149" s="28"/>
      <c r="P149" s="182"/>
      <c r="Q149" s="182"/>
    </row>
    <row r="150" spans="1:17">
      <c r="A150" s="27"/>
      <c r="B150" s="27"/>
      <c r="C150" s="27"/>
      <c r="D150" s="27"/>
      <c r="E150" s="27"/>
      <c r="F150" s="27"/>
      <c r="G150" s="174" t="s">
        <v>477</v>
      </c>
      <c r="H150" s="29"/>
      <c r="I150" s="39"/>
      <c r="J150" s="29"/>
      <c r="K150" s="38"/>
      <c r="L150" s="180"/>
      <c r="M150" s="181"/>
      <c r="N150" s="27"/>
      <c r="O150" s="28"/>
      <c r="P150" s="182"/>
      <c r="Q150" s="182"/>
    </row>
    <row r="151" spans="1:17">
      <c r="A151" s="27"/>
      <c r="B151" s="27"/>
      <c r="C151" s="27"/>
      <c r="D151" s="27"/>
      <c r="E151" s="27"/>
      <c r="F151" s="27"/>
      <c r="G151" s="174" t="s">
        <v>478</v>
      </c>
      <c r="H151" s="29"/>
      <c r="I151" s="39"/>
      <c r="J151" s="29"/>
      <c r="K151" s="38"/>
      <c r="L151" s="180"/>
      <c r="M151" s="181"/>
      <c r="N151" s="27"/>
      <c r="O151" s="28"/>
      <c r="P151" s="182"/>
      <c r="Q151" s="182"/>
    </row>
    <row r="152" spans="1:17">
      <c r="A152" s="27"/>
      <c r="B152" s="27"/>
      <c r="C152" s="27"/>
      <c r="D152" s="27"/>
      <c r="E152" s="27"/>
      <c r="F152" s="27"/>
      <c r="G152" s="174" t="s">
        <v>479</v>
      </c>
      <c r="H152" s="29"/>
      <c r="I152" s="39"/>
      <c r="J152" s="29"/>
      <c r="K152" s="38"/>
      <c r="L152" s="180"/>
      <c r="M152" s="181"/>
      <c r="N152" s="27"/>
      <c r="O152" s="28"/>
      <c r="P152" s="182"/>
      <c r="Q152" s="182"/>
    </row>
    <row r="153" spans="1:17">
      <c r="A153" s="27"/>
      <c r="B153" s="27"/>
      <c r="C153" s="27"/>
      <c r="D153" s="27"/>
      <c r="E153" s="27"/>
      <c r="F153" s="27"/>
      <c r="G153" s="174" t="s">
        <v>480</v>
      </c>
      <c r="H153" s="29"/>
      <c r="I153" s="39"/>
      <c r="J153" s="29"/>
      <c r="K153" s="38"/>
      <c r="L153" s="180"/>
      <c r="M153" s="181"/>
      <c r="N153" s="27"/>
      <c r="O153" s="28"/>
      <c r="P153" s="182"/>
      <c r="Q153" s="182"/>
    </row>
    <row r="154" spans="1:17">
      <c r="A154" s="27"/>
      <c r="B154" s="27"/>
      <c r="C154" s="27"/>
      <c r="D154" s="27"/>
      <c r="E154" s="27"/>
      <c r="F154" s="27"/>
      <c r="G154" s="174" t="s">
        <v>481</v>
      </c>
      <c r="H154" s="29"/>
      <c r="I154" s="39"/>
      <c r="J154" s="29"/>
      <c r="K154" s="38"/>
      <c r="L154" s="183"/>
      <c r="M154" s="184"/>
      <c r="N154" s="27"/>
      <c r="O154" s="28"/>
      <c r="P154" s="185"/>
      <c r="Q154" s="185"/>
    </row>
    <row r="155" spans="1:17">
      <c r="A155" s="27">
        <v>35</v>
      </c>
      <c r="B155" s="27" t="s">
        <v>51</v>
      </c>
      <c r="C155" s="27" t="s">
        <v>54</v>
      </c>
      <c r="D155" s="27">
        <v>1</v>
      </c>
      <c r="E155" s="27" t="s">
        <v>53</v>
      </c>
      <c r="F155" s="27">
        <v>1.95</v>
      </c>
      <c r="G155" s="174" t="s">
        <v>482</v>
      </c>
      <c r="H155" s="29"/>
      <c r="I155" s="39">
        <v>46111</v>
      </c>
      <c r="J155" s="29"/>
      <c r="K155" s="38">
        <f>I155+90</f>
        <v>46201</v>
      </c>
      <c r="L155" s="169">
        <v>46113</v>
      </c>
      <c r="M155" s="30">
        <v>46142</v>
      </c>
      <c r="N155" s="164">
        <v>30</v>
      </c>
      <c r="O155" s="164">
        <f t="shared" ref="O155:O186" si="9">N155*F155*D155</f>
        <v>58.5</v>
      </c>
      <c r="P155" s="37">
        <v>0</v>
      </c>
      <c r="Q155" s="37">
        <f>P155*F155*D155</f>
        <v>0</v>
      </c>
    </row>
    <row r="156" spans="1:17">
      <c r="A156" s="175"/>
      <c r="B156" s="27" t="s">
        <v>51</v>
      </c>
      <c r="C156" s="27" t="s">
        <v>54</v>
      </c>
      <c r="D156" s="27">
        <v>1</v>
      </c>
      <c r="E156" s="27" t="s">
        <v>53</v>
      </c>
      <c r="F156" s="27">
        <v>1.95</v>
      </c>
      <c r="G156" s="174" t="s">
        <v>483</v>
      </c>
      <c r="H156" s="29"/>
      <c r="I156" s="39">
        <v>46111</v>
      </c>
      <c r="J156" s="29"/>
      <c r="K156" s="38">
        <v>46201</v>
      </c>
      <c r="L156" s="169">
        <v>46113</v>
      </c>
      <c r="M156" s="30">
        <v>46142</v>
      </c>
      <c r="N156" s="164">
        <v>30</v>
      </c>
      <c r="O156" s="164">
        <f t="shared" si="9"/>
        <v>58.5</v>
      </c>
      <c r="P156" s="37">
        <v>0</v>
      </c>
      <c r="Q156" s="37">
        <f t="shared" ref="Q156:Q186" si="10">P156*F156*D156</f>
        <v>0</v>
      </c>
    </row>
    <row r="157" spans="1:17">
      <c r="A157" s="175"/>
      <c r="B157" s="27" t="s">
        <v>51</v>
      </c>
      <c r="C157" s="27" t="s">
        <v>54</v>
      </c>
      <c r="D157" s="27">
        <v>1</v>
      </c>
      <c r="E157" s="27" t="s">
        <v>53</v>
      </c>
      <c r="F157" s="27">
        <v>1.95</v>
      </c>
      <c r="G157" s="174" t="s">
        <v>484</v>
      </c>
      <c r="H157" s="29"/>
      <c r="I157" s="39">
        <v>46111</v>
      </c>
      <c r="J157" s="29"/>
      <c r="K157" s="38">
        <v>46201</v>
      </c>
      <c r="L157" s="169">
        <v>46113</v>
      </c>
      <c r="M157" s="30">
        <v>46142</v>
      </c>
      <c r="N157" s="164">
        <v>30</v>
      </c>
      <c r="O157" s="164">
        <f t="shared" si="9"/>
        <v>58.5</v>
      </c>
      <c r="P157" s="37">
        <v>0</v>
      </c>
      <c r="Q157" s="37">
        <f t="shared" si="10"/>
        <v>0</v>
      </c>
    </row>
    <row r="158" spans="1:17">
      <c r="A158" s="175"/>
      <c r="B158" s="27" t="s">
        <v>51</v>
      </c>
      <c r="C158" s="27" t="s">
        <v>54</v>
      </c>
      <c r="D158" s="27">
        <v>1</v>
      </c>
      <c r="E158" s="27" t="s">
        <v>53</v>
      </c>
      <c r="F158" s="27">
        <v>1.95</v>
      </c>
      <c r="G158" s="174" t="s">
        <v>485</v>
      </c>
      <c r="H158" s="29"/>
      <c r="I158" s="39">
        <v>46111</v>
      </c>
      <c r="J158" s="29"/>
      <c r="K158" s="38">
        <v>46201</v>
      </c>
      <c r="L158" s="169">
        <v>46113</v>
      </c>
      <c r="M158" s="30">
        <v>46142</v>
      </c>
      <c r="N158" s="164">
        <v>30</v>
      </c>
      <c r="O158" s="164">
        <f t="shared" si="9"/>
        <v>58.5</v>
      </c>
      <c r="P158" s="37">
        <v>0</v>
      </c>
      <c r="Q158" s="37">
        <f t="shared" si="10"/>
        <v>0</v>
      </c>
    </row>
    <row r="159" spans="1:17">
      <c r="A159" s="175"/>
      <c r="B159" s="27" t="s">
        <v>51</v>
      </c>
      <c r="C159" s="27" t="s">
        <v>54</v>
      </c>
      <c r="D159" s="29">
        <v>1</v>
      </c>
      <c r="E159" s="29" t="s">
        <v>53</v>
      </c>
      <c r="F159" s="29">
        <v>1.95</v>
      </c>
      <c r="G159" s="174" t="s">
        <v>486</v>
      </c>
      <c r="H159" s="29"/>
      <c r="I159" s="39">
        <v>46111</v>
      </c>
      <c r="J159" s="29"/>
      <c r="K159" s="38">
        <v>46201</v>
      </c>
      <c r="L159" s="169">
        <v>46113</v>
      </c>
      <c r="M159" s="30">
        <v>46142</v>
      </c>
      <c r="N159" s="164">
        <v>30</v>
      </c>
      <c r="O159" s="164">
        <f t="shared" si="9"/>
        <v>58.5</v>
      </c>
      <c r="P159" s="37">
        <v>0</v>
      </c>
      <c r="Q159" s="37">
        <f t="shared" si="10"/>
        <v>0</v>
      </c>
    </row>
    <row r="160" spans="1:17">
      <c r="A160" s="175"/>
      <c r="B160" s="27" t="s">
        <v>51</v>
      </c>
      <c r="C160" s="27" t="s">
        <v>54</v>
      </c>
      <c r="D160" s="27">
        <v>1</v>
      </c>
      <c r="E160" s="27" t="s">
        <v>53</v>
      </c>
      <c r="F160" s="27">
        <v>1.95</v>
      </c>
      <c r="G160" s="174" t="s">
        <v>487</v>
      </c>
      <c r="H160" s="29"/>
      <c r="I160" s="39">
        <v>46111</v>
      </c>
      <c r="J160" s="29"/>
      <c r="K160" s="38">
        <v>46201</v>
      </c>
      <c r="L160" s="169">
        <v>46113</v>
      </c>
      <c r="M160" s="30">
        <v>46142</v>
      </c>
      <c r="N160" s="164">
        <v>30</v>
      </c>
      <c r="O160" s="164">
        <f t="shared" si="9"/>
        <v>58.5</v>
      </c>
      <c r="P160" s="37">
        <v>0</v>
      </c>
      <c r="Q160" s="37">
        <f t="shared" si="10"/>
        <v>0</v>
      </c>
    </row>
    <row r="161" spans="1:17">
      <c r="A161" s="175"/>
      <c r="B161" s="27" t="s">
        <v>51</v>
      </c>
      <c r="C161" s="27" t="s">
        <v>54</v>
      </c>
      <c r="D161" s="29">
        <v>1</v>
      </c>
      <c r="E161" s="29" t="s">
        <v>53</v>
      </c>
      <c r="F161" s="29">
        <v>1.95</v>
      </c>
      <c r="G161" s="174" t="s">
        <v>488</v>
      </c>
      <c r="H161" s="29"/>
      <c r="I161" s="39">
        <v>46111</v>
      </c>
      <c r="J161" s="29"/>
      <c r="K161" s="38">
        <v>46201</v>
      </c>
      <c r="L161" s="169">
        <v>46113</v>
      </c>
      <c r="M161" s="30">
        <v>46142</v>
      </c>
      <c r="N161" s="164">
        <v>30</v>
      </c>
      <c r="O161" s="164">
        <f t="shared" si="9"/>
        <v>58.5</v>
      </c>
      <c r="P161" s="37">
        <v>0</v>
      </c>
      <c r="Q161" s="37">
        <f t="shared" si="10"/>
        <v>0</v>
      </c>
    </row>
    <row r="162" spans="1:17">
      <c r="A162" s="175"/>
      <c r="B162" s="27" t="s">
        <v>51</v>
      </c>
      <c r="C162" s="27" t="s">
        <v>54</v>
      </c>
      <c r="D162" s="27">
        <v>1</v>
      </c>
      <c r="E162" s="27" t="s">
        <v>53</v>
      </c>
      <c r="F162" s="27">
        <v>1.95</v>
      </c>
      <c r="G162" s="174" t="s">
        <v>489</v>
      </c>
      <c r="H162" s="29"/>
      <c r="I162" s="39">
        <v>46111</v>
      </c>
      <c r="J162" s="29"/>
      <c r="K162" s="38">
        <v>46201</v>
      </c>
      <c r="L162" s="169">
        <v>46113</v>
      </c>
      <c r="M162" s="30">
        <v>46142</v>
      </c>
      <c r="N162" s="164">
        <v>30</v>
      </c>
      <c r="O162" s="164">
        <f t="shared" si="9"/>
        <v>58.5</v>
      </c>
      <c r="P162" s="37">
        <v>0</v>
      </c>
      <c r="Q162" s="37">
        <f t="shared" si="10"/>
        <v>0</v>
      </c>
    </row>
    <row r="163" spans="1:17">
      <c r="A163" s="175"/>
      <c r="B163" s="27" t="s">
        <v>51</v>
      </c>
      <c r="C163" s="27" t="s">
        <v>54</v>
      </c>
      <c r="D163" s="29">
        <v>1</v>
      </c>
      <c r="E163" s="29" t="s">
        <v>53</v>
      </c>
      <c r="F163" s="29">
        <v>1.95</v>
      </c>
      <c r="G163" s="174" t="s">
        <v>490</v>
      </c>
      <c r="H163" s="29"/>
      <c r="I163" s="39">
        <v>46111</v>
      </c>
      <c r="J163" s="29"/>
      <c r="K163" s="38">
        <v>46201</v>
      </c>
      <c r="L163" s="169">
        <v>46113</v>
      </c>
      <c r="M163" s="30">
        <v>46142</v>
      </c>
      <c r="N163" s="164">
        <v>30</v>
      </c>
      <c r="O163" s="164">
        <f t="shared" si="9"/>
        <v>58.5</v>
      </c>
      <c r="P163" s="37">
        <v>0</v>
      </c>
      <c r="Q163" s="37">
        <f t="shared" si="10"/>
        <v>0</v>
      </c>
    </row>
    <row r="164" spans="1:17">
      <c r="A164" s="175"/>
      <c r="B164" s="27" t="s">
        <v>51</v>
      </c>
      <c r="C164" s="27" t="s">
        <v>54</v>
      </c>
      <c r="D164" s="27">
        <v>1</v>
      </c>
      <c r="E164" s="27" t="s">
        <v>53</v>
      </c>
      <c r="F164" s="27">
        <v>1.95</v>
      </c>
      <c r="G164" s="174" t="s">
        <v>491</v>
      </c>
      <c r="H164" s="29"/>
      <c r="I164" s="39">
        <v>46111</v>
      </c>
      <c r="J164" s="29"/>
      <c r="K164" s="38">
        <v>46201</v>
      </c>
      <c r="L164" s="169">
        <v>46113</v>
      </c>
      <c r="M164" s="30">
        <v>46142</v>
      </c>
      <c r="N164" s="164">
        <v>30</v>
      </c>
      <c r="O164" s="164">
        <f t="shared" si="9"/>
        <v>58.5</v>
      </c>
      <c r="P164" s="37">
        <v>0</v>
      </c>
      <c r="Q164" s="37">
        <f t="shared" si="10"/>
        <v>0</v>
      </c>
    </row>
    <row r="165" spans="1:17">
      <c r="A165" s="175"/>
      <c r="B165" s="27" t="s">
        <v>51</v>
      </c>
      <c r="C165" s="27" t="s">
        <v>54</v>
      </c>
      <c r="D165" s="29">
        <v>1</v>
      </c>
      <c r="E165" s="29" t="s">
        <v>53</v>
      </c>
      <c r="F165" s="29">
        <v>1.95</v>
      </c>
      <c r="G165" s="174" t="s">
        <v>492</v>
      </c>
      <c r="H165" s="29"/>
      <c r="I165" s="39">
        <v>46111</v>
      </c>
      <c r="J165" s="29"/>
      <c r="K165" s="38">
        <v>46201</v>
      </c>
      <c r="L165" s="169">
        <v>46113</v>
      </c>
      <c r="M165" s="30">
        <v>46142</v>
      </c>
      <c r="N165" s="164">
        <v>30</v>
      </c>
      <c r="O165" s="164">
        <f t="shared" si="9"/>
        <v>58.5</v>
      </c>
      <c r="P165" s="37">
        <v>0</v>
      </c>
      <c r="Q165" s="37">
        <f t="shared" si="10"/>
        <v>0</v>
      </c>
    </row>
    <row r="166" spans="1:17">
      <c r="A166" s="32">
        <v>35</v>
      </c>
      <c r="B166" s="27" t="s">
        <v>51</v>
      </c>
      <c r="C166" s="27" t="s">
        <v>54</v>
      </c>
      <c r="D166" s="27">
        <v>1</v>
      </c>
      <c r="E166" s="27" t="s">
        <v>53</v>
      </c>
      <c r="F166" s="27">
        <v>1.95</v>
      </c>
      <c r="G166" s="174" t="s">
        <v>493</v>
      </c>
      <c r="H166" s="29"/>
      <c r="I166" s="39">
        <v>46113</v>
      </c>
      <c r="J166" s="29"/>
      <c r="K166" s="38">
        <v>46203</v>
      </c>
      <c r="L166" s="169">
        <v>46113</v>
      </c>
      <c r="M166" s="30">
        <v>46142</v>
      </c>
      <c r="N166" s="164">
        <v>30</v>
      </c>
      <c r="O166" s="164">
        <f t="shared" si="9"/>
        <v>58.5</v>
      </c>
      <c r="P166" s="37">
        <v>0</v>
      </c>
      <c r="Q166" s="37">
        <f t="shared" si="10"/>
        <v>0</v>
      </c>
    </row>
    <row r="167" spans="1:17">
      <c r="A167" s="186"/>
      <c r="B167" s="27" t="s">
        <v>51</v>
      </c>
      <c r="C167" s="27" t="s">
        <v>54</v>
      </c>
      <c r="D167" s="27">
        <v>1</v>
      </c>
      <c r="E167" s="27" t="s">
        <v>53</v>
      </c>
      <c r="F167" s="27">
        <v>1.95</v>
      </c>
      <c r="G167" s="174" t="s">
        <v>494</v>
      </c>
      <c r="H167" s="29"/>
      <c r="I167" s="39">
        <v>46113</v>
      </c>
      <c r="J167" s="29"/>
      <c r="K167" s="38">
        <v>46203</v>
      </c>
      <c r="L167" s="169">
        <v>46113</v>
      </c>
      <c r="M167" s="30">
        <v>46142</v>
      </c>
      <c r="N167" s="164">
        <v>30</v>
      </c>
      <c r="O167" s="164">
        <f t="shared" si="9"/>
        <v>58.5</v>
      </c>
      <c r="P167" s="37">
        <v>0</v>
      </c>
      <c r="Q167" s="37">
        <f t="shared" si="10"/>
        <v>0</v>
      </c>
    </row>
    <row r="168" spans="1:17">
      <c r="A168" s="186"/>
      <c r="B168" s="27" t="s">
        <v>51</v>
      </c>
      <c r="C168" s="27" t="s">
        <v>54</v>
      </c>
      <c r="D168" s="27">
        <v>1</v>
      </c>
      <c r="E168" s="27" t="s">
        <v>53</v>
      </c>
      <c r="F168" s="27">
        <v>1.95</v>
      </c>
      <c r="G168" s="174" t="s">
        <v>495</v>
      </c>
      <c r="H168" s="29"/>
      <c r="I168" s="39">
        <v>46113</v>
      </c>
      <c r="J168" s="29"/>
      <c r="K168" s="38">
        <v>46203</v>
      </c>
      <c r="L168" s="169">
        <v>46113</v>
      </c>
      <c r="M168" s="30">
        <v>46142</v>
      </c>
      <c r="N168" s="164">
        <v>30</v>
      </c>
      <c r="O168" s="164">
        <f t="shared" si="9"/>
        <v>58.5</v>
      </c>
      <c r="P168" s="37">
        <v>0</v>
      </c>
      <c r="Q168" s="37">
        <f t="shared" si="10"/>
        <v>0</v>
      </c>
    </row>
    <row r="169" spans="1:17">
      <c r="A169" s="186"/>
      <c r="B169" s="27" t="s">
        <v>51</v>
      </c>
      <c r="C169" s="27" t="s">
        <v>54</v>
      </c>
      <c r="D169" s="27">
        <v>1</v>
      </c>
      <c r="E169" s="27" t="s">
        <v>53</v>
      </c>
      <c r="F169" s="27">
        <v>1.95</v>
      </c>
      <c r="G169" s="174" t="s">
        <v>496</v>
      </c>
      <c r="H169" s="29"/>
      <c r="I169" s="39">
        <v>46113</v>
      </c>
      <c r="J169" s="29"/>
      <c r="K169" s="38">
        <v>46203</v>
      </c>
      <c r="L169" s="169">
        <v>46113</v>
      </c>
      <c r="M169" s="30">
        <v>46142</v>
      </c>
      <c r="N169" s="164">
        <v>30</v>
      </c>
      <c r="O169" s="164">
        <f t="shared" si="9"/>
        <v>58.5</v>
      </c>
      <c r="P169" s="37">
        <v>0</v>
      </c>
      <c r="Q169" s="37">
        <f t="shared" si="10"/>
        <v>0</v>
      </c>
    </row>
    <row r="170" spans="1:17">
      <c r="A170" s="186"/>
      <c r="B170" s="27" t="s">
        <v>51</v>
      </c>
      <c r="C170" s="27" t="s">
        <v>54</v>
      </c>
      <c r="D170" s="29">
        <v>1</v>
      </c>
      <c r="E170" s="29" t="s">
        <v>53</v>
      </c>
      <c r="F170" s="29">
        <v>1.95</v>
      </c>
      <c r="G170" s="174" t="s">
        <v>497</v>
      </c>
      <c r="H170" s="29"/>
      <c r="I170" s="39">
        <v>46113</v>
      </c>
      <c r="J170" s="29"/>
      <c r="K170" s="38">
        <v>46203</v>
      </c>
      <c r="L170" s="169">
        <v>46113</v>
      </c>
      <c r="M170" s="30">
        <v>46142</v>
      </c>
      <c r="N170" s="164">
        <v>30</v>
      </c>
      <c r="O170" s="164">
        <f t="shared" si="9"/>
        <v>58.5</v>
      </c>
      <c r="P170" s="37">
        <v>0</v>
      </c>
      <c r="Q170" s="37">
        <f t="shared" si="10"/>
        <v>0</v>
      </c>
    </row>
    <row r="171" spans="1:17">
      <c r="A171" s="186"/>
      <c r="B171" s="27" t="s">
        <v>51</v>
      </c>
      <c r="C171" s="27" t="s">
        <v>54</v>
      </c>
      <c r="D171" s="27">
        <v>1</v>
      </c>
      <c r="E171" s="27" t="s">
        <v>53</v>
      </c>
      <c r="F171" s="27">
        <v>1.95</v>
      </c>
      <c r="G171" s="174" t="s">
        <v>498</v>
      </c>
      <c r="H171" s="29"/>
      <c r="I171" s="39">
        <v>46113</v>
      </c>
      <c r="J171" s="29"/>
      <c r="K171" s="38">
        <v>46203</v>
      </c>
      <c r="L171" s="169">
        <v>46113</v>
      </c>
      <c r="M171" s="30">
        <v>46142</v>
      </c>
      <c r="N171" s="164">
        <v>30</v>
      </c>
      <c r="O171" s="164">
        <f t="shared" si="9"/>
        <v>58.5</v>
      </c>
      <c r="P171" s="37">
        <v>0</v>
      </c>
      <c r="Q171" s="37">
        <f t="shared" si="10"/>
        <v>0</v>
      </c>
    </row>
    <row r="172" spans="1:17">
      <c r="A172" s="186"/>
      <c r="B172" s="27" t="s">
        <v>51</v>
      </c>
      <c r="C172" s="27" t="s">
        <v>54</v>
      </c>
      <c r="D172" s="29">
        <v>1</v>
      </c>
      <c r="E172" s="29" t="s">
        <v>53</v>
      </c>
      <c r="F172" s="29">
        <v>1.95</v>
      </c>
      <c r="G172" s="174" t="s">
        <v>499</v>
      </c>
      <c r="H172" s="29"/>
      <c r="I172" s="39">
        <v>46113</v>
      </c>
      <c r="J172" s="29"/>
      <c r="K172" s="38">
        <v>46203</v>
      </c>
      <c r="L172" s="169">
        <v>46113</v>
      </c>
      <c r="M172" s="30">
        <v>46142</v>
      </c>
      <c r="N172" s="164">
        <v>30</v>
      </c>
      <c r="O172" s="164">
        <f t="shared" si="9"/>
        <v>58.5</v>
      </c>
      <c r="P172" s="37">
        <v>0</v>
      </c>
      <c r="Q172" s="37">
        <f t="shared" si="10"/>
        <v>0</v>
      </c>
    </row>
    <row r="173" spans="1:17">
      <c r="A173" s="186"/>
      <c r="B173" s="27" t="s">
        <v>51</v>
      </c>
      <c r="C173" s="27" t="s">
        <v>54</v>
      </c>
      <c r="D173" s="27">
        <v>1</v>
      </c>
      <c r="E173" s="27" t="s">
        <v>53</v>
      </c>
      <c r="F173" s="27">
        <v>1.95</v>
      </c>
      <c r="G173" s="174" t="s">
        <v>500</v>
      </c>
      <c r="H173" s="29"/>
      <c r="I173" s="39">
        <v>46113</v>
      </c>
      <c r="J173" s="29"/>
      <c r="K173" s="38">
        <v>46203</v>
      </c>
      <c r="L173" s="169">
        <v>46113</v>
      </c>
      <c r="M173" s="30">
        <v>46142</v>
      </c>
      <c r="N173" s="164">
        <v>30</v>
      </c>
      <c r="O173" s="164">
        <f t="shared" si="9"/>
        <v>58.5</v>
      </c>
      <c r="P173" s="37">
        <v>0</v>
      </c>
      <c r="Q173" s="37">
        <f t="shared" si="10"/>
        <v>0</v>
      </c>
    </row>
    <row r="174" spans="1:17">
      <c r="A174" s="186"/>
      <c r="B174" s="27" t="s">
        <v>51</v>
      </c>
      <c r="C174" s="27" t="s">
        <v>54</v>
      </c>
      <c r="D174" s="29">
        <v>1</v>
      </c>
      <c r="E174" s="29" t="s">
        <v>53</v>
      </c>
      <c r="F174" s="29">
        <v>1.95</v>
      </c>
      <c r="G174" s="174" t="s">
        <v>501</v>
      </c>
      <c r="H174" s="29"/>
      <c r="I174" s="39">
        <v>46113</v>
      </c>
      <c r="J174" s="29"/>
      <c r="K174" s="38">
        <v>46203</v>
      </c>
      <c r="L174" s="169">
        <v>46113</v>
      </c>
      <c r="M174" s="30">
        <v>46142</v>
      </c>
      <c r="N174" s="164">
        <v>30</v>
      </c>
      <c r="O174" s="164">
        <f t="shared" si="9"/>
        <v>58.5</v>
      </c>
      <c r="P174" s="37">
        <v>0</v>
      </c>
      <c r="Q174" s="37">
        <f t="shared" si="10"/>
        <v>0</v>
      </c>
    </row>
    <row r="175" spans="1:17">
      <c r="A175" s="186"/>
      <c r="B175" s="27" t="s">
        <v>51</v>
      </c>
      <c r="C175" s="27" t="s">
        <v>54</v>
      </c>
      <c r="D175" s="27">
        <v>1</v>
      </c>
      <c r="E175" s="27" t="s">
        <v>53</v>
      </c>
      <c r="F175" s="27">
        <v>1.95</v>
      </c>
      <c r="G175" s="174" t="s">
        <v>502</v>
      </c>
      <c r="H175" s="29"/>
      <c r="I175" s="39">
        <v>46113</v>
      </c>
      <c r="J175" s="29"/>
      <c r="K175" s="38">
        <v>46203</v>
      </c>
      <c r="L175" s="169">
        <v>46113</v>
      </c>
      <c r="M175" s="30">
        <v>46142</v>
      </c>
      <c r="N175" s="164">
        <v>30</v>
      </c>
      <c r="O175" s="164">
        <f t="shared" si="9"/>
        <v>58.5</v>
      </c>
      <c r="P175" s="37">
        <v>0</v>
      </c>
      <c r="Q175" s="37">
        <f t="shared" si="10"/>
        <v>0</v>
      </c>
    </row>
    <row r="176" spans="1:17">
      <c r="A176" s="186"/>
      <c r="B176" s="27" t="s">
        <v>51</v>
      </c>
      <c r="C176" s="27" t="s">
        <v>54</v>
      </c>
      <c r="D176" s="29">
        <v>1</v>
      </c>
      <c r="E176" s="29" t="s">
        <v>53</v>
      </c>
      <c r="F176" s="29">
        <v>1.95</v>
      </c>
      <c r="G176" s="174" t="s">
        <v>503</v>
      </c>
      <c r="H176" s="29"/>
      <c r="I176" s="39">
        <v>46113</v>
      </c>
      <c r="J176" s="29"/>
      <c r="K176" s="38">
        <v>46203</v>
      </c>
      <c r="L176" s="169">
        <v>46113</v>
      </c>
      <c r="M176" s="30">
        <v>46142</v>
      </c>
      <c r="N176" s="164">
        <v>30</v>
      </c>
      <c r="O176" s="164">
        <f t="shared" si="9"/>
        <v>58.5</v>
      </c>
      <c r="P176" s="37">
        <v>0</v>
      </c>
      <c r="Q176" s="37">
        <f t="shared" si="10"/>
        <v>0</v>
      </c>
    </row>
    <row r="177" spans="1:19">
      <c r="A177" s="186"/>
      <c r="B177" s="27" t="s">
        <v>51</v>
      </c>
      <c r="C177" s="27" t="s">
        <v>54</v>
      </c>
      <c r="D177" s="27">
        <v>1</v>
      </c>
      <c r="E177" s="27" t="s">
        <v>53</v>
      </c>
      <c r="F177" s="27">
        <v>1.95</v>
      </c>
      <c r="G177" s="174" t="s">
        <v>504</v>
      </c>
      <c r="H177" s="29"/>
      <c r="I177" s="39">
        <v>46113</v>
      </c>
      <c r="J177" s="29"/>
      <c r="K177" s="38">
        <v>46203</v>
      </c>
      <c r="L177" s="169">
        <v>46113</v>
      </c>
      <c r="M177" s="30">
        <v>46142</v>
      </c>
      <c r="N177" s="164">
        <v>30</v>
      </c>
      <c r="O177" s="164">
        <f t="shared" si="9"/>
        <v>58.5</v>
      </c>
      <c r="P177" s="37">
        <v>0</v>
      </c>
      <c r="Q177" s="37">
        <f t="shared" si="10"/>
        <v>0</v>
      </c>
    </row>
    <row r="178" spans="1:19">
      <c r="A178" s="187"/>
      <c r="B178" s="188" t="s">
        <v>51</v>
      </c>
      <c r="C178" s="188" t="s">
        <v>54</v>
      </c>
      <c r="D178" s="188">
        <v>1</v>
      </c>
      <c r="E178" s="188" t="s">
        <v>53</v>
      </c>
      <c r="F178" s="188">
        <v>1.95</v>
      </c>
      <c r="G178" s="189" t="s">
        <v>505</v>
      </c>
      <c r="H178" s="149"/>
      <c r="I178" s="190">
        <v>46113</v>
      </c>
      <c r="J178" s="149"/>
      <c r="K178" s="178">
        <v>46203</v>
      </c>
      <c r="L178" s="177">
        <v>46113</v>
      </c>
      <c r="M178" s="191">
        <v>46142</v>
      </c>
      <c r="N178" s="164">
        <v>30</v>
      </c>
      <c r="O178" s="164">
        <f t="shared" si="9"/>
        <v>58.5</v>
      </c>
      <c r="P178" s="179">
        <v>0</v>
      </c>
      <c r="Q178" s="179">
        <f t="shared" si="10"/>
        <v>0</v>
      </c>
    </row>
    <row r="179" spans="1:19">
      <c r="A179" s="32">
        <v>35</v>
      </c>
      <c r="B179" s="27" t="s">
        <v>51</v>
      </c>
      <c r="C179" s="27" t="s">
        <v>54</v>
      </c>
      <c r="D179" s="27">
        <v>1</v>
      </c>
      <c r="E179" s="27" t="s">
        <v>53</v>
      </c>
      <c r="F179" s="27">
        <v>1.95</v>
      </c>
      <c r="G179" s="174" t="s">
        <v>506</v>
      </c>
      <c r="H179" s="29"/>
      <c r="I179" s="39">
        <v>46120</v>
      </c>
      <c r="J179" s="29"/>
      <c r="K179" s="38">
        <v>46210</v>
      </c>
      <c r="L179" s="169">
        <v>46113</v>
      </c>
      <c r="M179" s="30">
        <v>46142</v>
      </c>
      <c r="N179" s="192">
        <v>30</v>
      </c>
      <c r="O179" s="192">
        <f t="shared" si="9"/>
        <v>58.5</v>
      </c>
      <c r="P179" s="37">
        <v>0</v>
      </c>
      <c r="Q179" s="37">
        <f t="shared" si="10"/>
        <v>0</v>
      </c>
    </row>
    <row r="180" spans="1:19">
      <c r="A180" s="32"/>
      <c r="B180" s="27" t="s">
        <v>51</v>
      </c>
      <c r="C180" s="27" t="s">
        <v>54</v>
      </c>
      <c r="D180" s="27">
        <v>1</v>
      </c>
      <c r="E180" s="27" t="s">
        <v>53</v>
      </c>
      <c r="F180" s="27">
        <v>1.95</v>
      </c>
      <c r="G180" s="174" t="s">
        <v>507</v>
      </c>
      <c r="H180" s="29"/>
      <c r="I180" s="39">
        <v>46120</v>
      </c>
      <c r="J180" s="29"/>
      <c r="K180" s="38">
        <v>46210</v>
      </c>
      <c r="L180" s="169">
        <v>46113</v>
      </c>
      <c r="M180" s="30">
        <v>46142</v>
      </c>
      <c r="N180" s="192">
        <v>30</v>
      </c>
      <c r="O180" s="192">
        <f t="shared" si="9"/>
        <v>58.5</v>
      </c>
      <c r="P180" s="37">
        <v>0</v>
      </c>
      <c r="Q180" s="37">
        <f t="shared" si="10"/>
        <v>0</v>
      </c>
    </row>
    <row r="181" spans="1:19">
      <c r="A181" s="32"/>
      <c r="B181" s="27" t="s">
        <v>51</v>
      </c>
      <c r="C181" s="27" t="s">
        <v>54</v>
      </c>
      <c r="D181" s="29">
        <v>1</v>
      </c>
      <c r="E181" s="29" t="s">
        <v>53</v>
      </c>
      <c r="F181" s="29">
        <v>1.95</v>
      </c>
      <c r="G181" s="174" t="s">
        <v>508</v>
      </c>
      <c r="H181" s="29"/>
      <c r="I181" s="39">
        <v>46120</v>
      </c>
      <c r="J181" s="29"/>
      <c r="K181" s="38">
        <v>46210</v>
      </c>
      <c r="L181" s="169">
        <v>46113</v>
      </c>
      <c r="M181" s="30">
        <v>46142</v>
      </c>
      <c r="N181" s="192">
        <v>30</v>
      </c>
      <c r="O181" s="192">
        <f t="shared" si="9"/>
        <v>58.5</v>
      </c>
      <c r="P181" s="37">
        <v>0</v>
      </c>
      <c r="Q181" s="37">
        <f t="shared" si="10"/>
        <v>0</v>
      </c>
    </row>
    <row r="182" spans="1:19">
      <c r="A182" s="32"/>
      <c r="B182" s="27" t="s">
        <v>51</v>
      </c>
      <c r="C182" s="27" t="s">
        <v>54</v>
      </c>
      <c r="D182" s="27">
        <v>1</v>
      </c>
      <c r="E182" s="27" t="s">
        <v>53</v>
      </c>
      <c r="F182" s="27">
        <v>1.95</v>
      </c>
      <c r="G182" s="174" t="s">
        <v>509</v>
      </c>
      <c r="H182" s="29"/>
      <c r="I182" s="39">
        <v>46120</v>
      </c>
      <c r="J182" s="29"/>
      <c r="K182" s="38">
        <v>46210</v>
      </c>
      <c r="L182" s="169">
        <v>46113</v>
      </c>
      <c r="M182" s="30">
        <v>46142</v>
      </c>
      <c r="N182" s="192">
        <v>30</v>
      </c>
      <c r="O182" s="192">
        <f t="shared" si="9"/>
        <v>58.5</v>
      </c>
      <c r="P182" s="37">
        <v>0</v>
      </c>
      <c r="Q182" s="37">
        <f t="shared" si="10"/>
        <v>0</v>
      </c>
    </row>
    <row r="183" spans="1:19">
      <c r="A183" s="32"/>
      <c r="B183" s="27" t="s">
        <v>51</v>
      </c>
      <c r="C183" s="27" t="s">
        <v>54</v>
      </c>
      <c r="D183" s="29">
        <v>1</v>
      </c>
      <c r="E183" s="29" t="s">
        <v>53</v>
      </c>
      <c r="F183" s="29">
        <v>1.95</v>
      </c>
      <c r="G183" s="174" t="s">
        <v>510</v>
      </c>
      <c r="H183" s="29"/>
      <c r="I183" s="39">
        <v>46120</v>
      </c>
      <c r="J183" s="29"/>
      <c r="K183" s="38">
        <v>46210</v>
      </c>
      <c r="L183" s="169">
        <v>46113</v>
      </c>
      <c r="M183" s="30">
        <v>46142</v>
      </c>
      <c r="N183" s="192">
        <v>30</v>
      </c>
      <c r="O183" s="192">
        <f t="shared" si="9"/>
        <v>58.5</v>
      </c>
      <c r="P183" s="37">
        <v>0</v>
      </c>
      <c r="Q183" s="37">
        <f t="shared" si="10"/>
        <v>0</v>
      </c>
    </row>
    <row r="184" spans="1:19">
      <c r="A184" s="32"/>
      <c r="B184" s="27" t="s">
        <v>51</v>
      </c>
      <c r="C184" s="27" t="s">
        <v>54</v>
      </c>
      <c r="D184" s="27">
        <v>1</v>
      </c>
      <c r="E184" s="27" t="s">
        <v>53</v>
      </c>
      <c r="F184" s="27">
        <v>1.95</v>
      </c>
      <c r="G184" s="174" t="s">
        <v>511</v>
      </c>
      <c r="H184" s="29"/>
      <c r="I184" s="39">
        <v>46120</v>
      </c>
      <c r="J184" s="29"/>
      <c r="K184" s="38">
        <v>46210</v>
      </c>
      <c r="L184" s="169">
        <v>46113</v>
      </c>
      <c r="M184" s="30">
        <v>46142</v>
      </c>
      <c r="N184" s="192">
        <v>30</v>
      </c>
      <c r="O184" s="192">
        <f t="shared" si="9"/>
        <v>58.5</v>
      </c>
      <c r="P184" s="37">
        <v>0</v>
      </c>
      <c r="Q184" s="37">
        <f t="shared" si="10"/>
        <v>0</v>
      </c>
    </row>
    <row r="185" spans="1:19">
      <c r="A185" s="32">
        <v>35</v>
      </c>
      <c r="B185" s="27" t="s">
        <v>51</v>
      </c>
      <c r="C185" s="27" t="s">
        <v>54</v>
      </c>
      <c r="D185" s="27">
        <v>1</v>
      </c>
      <c r="E185" s="27" t="s">
        <v>53</v>
      </c>
      <c r="F185" s="27">
        <v>1.95</v>
      </c>
      <c r="G185" s="193" t="s">
        <v>512</v>
      </c>
      <c r="H185" s="29"/>
      <c r="I185" s="39">
        <v>46126</v>
      </c>
      <c r="J185" s="29"/>
      <c r="K185" s="38">
        <v>46216</v>
      </c>
      <c r="L185" s="169">
        <v>46113</v>
      </c>
      <c r="M185" s="30">
        <v>46142</v>
      </c>
      <c r="N185" s="192">
        <v>30</v>
      </c>
      <c r="O185" s="192">
        <f t="shared" si="9"/>
        <v>58.5</v>
      </c>
      <c r="P185" s="37">
        <v>0</v>
      </c>
      <c r="Q185" s="37">
        <f t="shared" si="10"/>
        <v>0</v>
      </c>
    </row>
    <row r="186" spans="1:19">
      <c r="A186" s="186"/>
      <c r="B186" s="27" t="s">
        <v>51</v>
      </c>
      <c r="C186" s="27" t="s">
        <v>54</v>
      </c>
      <c r="D186" s="27">
        <v>1</v>
      </c>
      <c r="E186" s="27" t="s">
        <v>53</v>
      </c>
      <c r="F186" s="27">
        <v>1.95</v>
      </c>
      <c r="G186" s="193" t="s">
        <v>513</v>
      </c>
      <c r="H186" s="29"/>
      <c r="I186" s="39">
        <v>46126</v>
      </c>
      <c r="J186" s="29"/>
      <c r="K186" s="38">
        <v>46216</v>
      </c>
      <c r="L186" s="169">
        <v>46113</v>
      </c>
      <c r="M186" s="30">
        <v>46142</v>
      </c>
      <c r="N186" s="192">
        <v>30</v>
      </c>
      <c r="O186" s="192">
        <f t="shared" si="9"/>
        <v>58.5</v>
      </c>
      <c r="P186" s="37">
        <v>0</v>
      </c>
      <c r="Q186" s="37">
        <f t="shared" si="10"/>
        <v>0</v>
      </c>
    </row>
    <row r="187" s="21" customFormat="1" ht="35" customHeight="1" spans="1:19">
      <c r="A187" s="29" t="s">
        <v>126</v>
      </c>
      <c r="B187" s="29"/>
      <c r="C187" s="29"/>
      <c r="D187" s="29">
        <f>SUM(D3:D186)</f>
        <v>70</v>
      </c>
      <c r="E187" s="29" t="s">
        <v>127</v>
      </c>
      <c r="F187" s="29"/>
      <c r="G187" s="29"/>
      <c r="H187" s="29"/>
      <c r="I187" s="29"/>
      <c r="J187" s="29"/>
      <c r="K187" s="29"/>
      <c r="L187" s="29"/>
      <c r="M187" s="29"/>
      <c r="N187" s="32"/>
      <c r="O187" s="33">
        <f>SUM(O3:O186)</f>
        <v>7701.39</v>
      </c>
      <c r="P187" s="32"/>
      <c r="Q187" s="33">
        <f>SUM(Q3:Q186)</f>
        <v>550.32</v>
      </c>
    </row>
    <row r="189" spans="1:19">
      <c r="B189" s="194">
        <v>46113</v>
      </c>
      <c r="C189" s="19" t="s">
        <v>128</v>
      </c>
      <c r="D189" s="19">
        <v>61</v>
      </c>
    </row>
    <row r="190" spans="1:19">
      <c r="B190" s="19"/>
      <c r="C190" s="19" t="s">
        <v>129</v>
      </c>
      <c r="D190" s="19">
        <v>0</v>
      </c>
    </row>
    <row r="192" s="21" customFormat="1" ht="22.85" spans="1:19">
      <c r="A192" s="61" t="s">
        <v>514</v>
      </c>
      <c r="B192" s="61"/>
      <c r="C192" s="61"/>
      <c r="D192" s="61"/>
      <c r="E192" s="61"/>
      <c r="F192" s="61"/>
      <c r="G192" s="61"/>
      <c r="H192" s="61"/>
      <c r="I192" s="61"/>
      <c r="J192" s="61"/>
      <c r="K192" s="61"/>
      <c r="L192" s="61"/>
      <c r="M192" s="61"/>
      <c r="N192" s="61"/>
      <c r="O192" s="44"/>
      <c r="P192" s="44"/>
      <c r="Q192" s="44"/>
      <c r="R192" s="44"/>
      <c r="S192" s="44"/>
    </row>
    <row r="193" s="21" customFormat="1" ht="39" customHeight="1" spans="1:23">
      <c r="A193" s="13" t="s">
        <v>16</v>
      </c>
      <c r="B193" s="13" t="s">
        <v>17</v>
      </c>
      <c r="C193" s="13" t="s">
        <v>18</v>
      </c>
      <c r="D193" s="13" t="s">
        <v>65</v>
      </c>
      <c r="E193" s="13" t="s">
        <v>46</v>
      </c>
      <c r="F193" s="13" t="s">
        <v>66</v>
      </c>
      <c r="G193" s="13" t="s">
        <v>67</v>
      </c>
      <c r="H193" s="62" t="s">
        <v>67</v>
      </c>
      <c r="I193" s="13" t="s">
        <v>43</v>
      </c>
      <c r="J193" s="13" t="s">
        <v>68</v>
      </c>
      <c r="K193" s="25" t="s">
        <v>69</v>
      </c>
      <c r="L193" s="25" t="s">
        <v>70</v>
      </c>
      <c r="M193" s="25" t="s">
        <v>71</v>
      </c>
      <c r="N193" s="36" t="s">
        <v>72</v>
      </c>
      <c r="O193" s="36" t="s">
        <v>73</v>
      </c>
      <c r="P193" s="25" t="s">
        <v>74</v>
      </c>
      <c r="Q193" s="13" t="s">
        <v>75</v>
      </c>
      <c r="R193" s="44"/>
      <c r="S193" s="44"/>
    </row>
    <row r="194" s="21" customFormat="1" ht="39" customHeight="1" spans="1:23">
      <c r="A194" s="14">
        <v>50</v>
      </c>
      <c r="B194" s="14" t="s">
        <v>30</v>
      </c>
      <c r="C194" s="14" t="s">
        <v>31</v>
      </c>
      <c r="D194" s="14">
        <v>2</v>
      </c>
      <c r="E194" s="14" t="s">
        <v>53</v>
      </c>
      <c r="F194" s="63">
        <v>22.77</v>
      </c>
      <c r="G194" s="19"/>
      <c r="I194" s="64">
        <v>45916</v>
      </c>
      <c r="J194" s="65">
        <v>46126</v>
      </c>
      <c r="K194" s="64">
        <f>I194+90</f>
        <v>46006</v>
      </c>
      <c r="L194" s="64">
        <v>46113</v>
      </c>
      <c r="M194" s="64">
        <v>46125</v>
      </c>
      <c r="N194" s="195">
        <v>13</v>
      </c>
      <c r="O194" s="196">
        <f>N194*F194*D194</f>
        <v>592.02</v>
      </c>
      <c r="P194" s="19">
        <f>M194-L194+1</f>
        <v>13</v>
      </c>
      <c r="Q194" s="67">
        <f>P194*F194*D194</f>
        <v>592.02</v>
      </c>
      <c r="R194" s="44"/>
      <c r="S194" s="44"/>
    </row>
    <row r="195" s="21" customFormat="1" ht="35" customHeight="1" spans="1:23">
      <c r="A195" s="29" t="s">
        <v>126</v>
      </c>
      <c r="B195" s="29"/>
      <c r="C195" s="29"/>
      <c r="D195" s="29">
        <f>SUM(D194)</f>
        <v>2</v>
      </c>
      <c r="E195" s="29" t="s">
        <v>127</v>
      </c>
      <c r="F195" s="29"/>
      <c r="G195" s="29"/>
      <c r="H195" s="29"/>
      <c r="I195" s="29"/>
      <c r="J195" s="29"/>
      <c r="K195" s="29"/>
      <c r="L195" s="29"/>
      <c r="M195" s="29"/>
      <c r="N195" s="32"/>
      <c r="O195" s="33">
        <f>SUM(O194)</f>
        <v>592.02</v>
      </c>
      <c r="P195" s="32"/>
      <c r="Q195" s="33">
        <f>SUM(Q194)</f>
        <v>592.02</v>
      </c>
    </row>
    <row r="196" s="21" customFormat="1" spans="1:23">
      <c r="O196" s="44"/>
      <c r="P196" s="44"/>
      <c r="Q196" s="44"/>
      <c r="R196" s="44"/>
      <c r="S196" s="44"/>
    </row>
    <row r="197" s="21" customFormat="1" ht="22.85" spans="1:23">
      <c r="A197" s="197" t="s">
        <v>515</v>
      </c>
      <c r="B197" s="198"/>
      <c r="C197" s="198"/>
      <c r="D197" s="198"/>
      <c r="E197" s="198"/>
      <c r="F197" s="198"/>
      <c r="G197" s="198"/>
      <c r="H197" s="198"/>
      <c r="I197" s="198"/>
      <c r="J197" s="198"/>
      <c r="K197" s="198"/>
      <c r="L197" s="198"/>
      <c r="M197" s="198"/>
      <c r="N197" s="198"/>
      <c r="O197" s="198"/>
      <c r="P197" s="198"/>
      <c r="Q197" s="198"/>
      <c r="R197" s="198"/>
      <c r="S197" s="199"/>
    </row>
    <row r="198" s="21" customFormat="1" ht="31.5" spans="1:23">
      <c r="A198" s="25" t="s">
        <v>16</v>
      </c>
      <c r="B198" s="25" t="s">
        <v>17</v>
      </c>
      <c r="C198" s="25" t="s">
        <v>18</v>
      </c>
      <c r="D198" s="25" t="s">
        <v>65</v>
      </c>
      <c r="E198" s="25" t="s">
        <v>46</v>
      </c>
      <c r="F198" s="25" t="s">
        <v>66</v>
      </c>
      <c r="G198" s="25" t="s">
        <v>322</v>
      </c>
      <c r="H198" s="25" t="s">
        <v>67</v>
      </c>
      <c r="I198" s="25" t="s">
        <v>43</v>
      </c>
      <c r="J198" s="25" t="s">
        <v>68</v>
      </c>
      <c r="K198" s="25" t="s">
        <v>69</v>
      </c>
      <c r="L198" s="25" t="s">
        <v>70</v>
      </c>
      <c r="M198" s="25" t="s">
        <v>71</v>
      </c>
      <c r="N198" s="26" t="s">
        <v>72</v>
      </c>
      <c r="O198" s="26" t="s">
        <v>73</v>
      </c>
      <c r="P198" s="25" t="s">
        <v>74</v>
      </c>
      <c r="Q198" s="25" t="s">
        <v>75</v>
      </c>
      <c r="R198" s="25" t="s">
        <v>67</v>
      </c>
      <c r="S198" s="34"/>
      <c r="T198" s="44"/>
      <c r="U198" s="44"/>
      <c r="V198" s="44"/>
      <c r="W198" s="44"/>
    </row>
    <row r="199" s="21" customFormat="1" ht="30" spans="1:23">
      <c r="A199" s="27">
        <v>26</v>
      </c>
      <c r="B199" s="27" t="s">
        <v>21</v>
      </c>
      <c r="C199" s="27" t="s">
        <v>22</v>
      </c>
      <c r="D199" s="29">
        <v>1</v>
      </c>
      <c r="E199" s="27" t="s">
        <v>53</v>
      </c>
      <c r="F199" s="28">
        <v>5.53</v>
      </c>
      <c r="G199" s="126" t="s">
        <v>330</v>
      </c>
      <c r="H199" s="32"/>
      <c r="I199" s="30">
        <v>45916</v>
      </c>
      <c r="J199" s="30"/>
      <c r="K199" s="200">
        <f>I199+90</f>
        <v>46006</v>
      </c>
      <c r="L199" s="30">
        <v>46113</v>
      </c>
      <c r="M199" s="30">
        <v>46142</v>
      </c>
      <c r="N199" s="32">
        <v>30</v>
      </c>
      <c r="O199" s="201">
        <f t="shared" ref="O196:O261" si="11">N199*F199*D199</f>
        <v>165.9</v>
      </c>
      <c r="P199" s="40">
        <f>M199-L199+1</f>
        <v>30</v>
      </c>
      <c r="Q199" s="33">
        <f t="shared" ref="Q199:Q262" si="12">D199*F199*P199</f>
        <v>165.9</v>
      </c>
      <c r="R199" s="202"/>
      <c r="S199" s="34"/>
      <c r="T199" s="44"/>
      <c r="U199" s="44"/>
      <c r="V199" s="44"/>
      <c r="W199" s="44"/>
    </row>
    <row r="200" s="21" customFormat="1" ht="30" spans="1:23">
      <c r="A200" s="27">
        <v>26</v>
      </c>
      <c r="B200" s="27" t="s">
        <v>21</v>
      </c>
      <c r="C200" s="27" t="s">
        <v>22</v>
      </c>
      <c r="D200" s="29">
        <v>1</v>
      </c>
      <c r="E200" s="27" t="s">
        <v>53</v>
      </c>
      <c r="F200" s="28">
        <v>5.53</v>
      </c>
      <c r="G200" s="126" t="s">
        <v>331</v>
      </c>
      <c r="H200" s="32"/>
      <c r="I200" s="30">
        <v>45916</v>
      </c>
      <c r="J200" s="30"/>
      <c r="K200" s="200">
        <f t="shared" ref="K200:K231" si="13">I200+90</f>
        <v>46006</v>
      </c>
      <c r="L200" s="30">
        <v>46113</v>
      </c>
      <c r="M200" s="30">
        <v>46142</v>
      </c>
      <c r="N200" s="32">
        <v>30</v>
      </c>
      <c r="O200" s="201">
        <f t="shared" si="11"/>
        <v>165.9</v>
      </c>
      <c r="P200" s="40">
        <f t="shared" ref="P200:P247" si="14">M200-L200+1</f>
        <v>30</v>
      </c>
      <c r="Q200" s="33">
        <f t="shared" si="12"/>
        <v>165.9</v>
      </c>
      <c r="R200" s="202"/>
      <c r="S200" s="34"/>
      <c r="T200" s="44"/>
      <c r="U200" s="44"/>
      <c r="V200" s="44"/>
      <c r="W200" s="44"/>
    </row>
    <row r="201" s="21" customFormat="1" ht="30" spans="1:23">
      <c r="A201" s="27">
        <v>26</v>
      </c>
      <c r="B201" s="27" t="s">
        <v>21</v>
      </c>
      <c r="C201" s="27" t="s">
        <v>22</v>
      </c>
      <c r="D201" s="29">
        <v>1</v>
      </c>
      <c r="E201" s="27" t="s">
        <v>53</v>
      </c>
      <c r="F201" s="28">
        <v>5.53</v>
      </c>
      <c r="G201" s="126" t="s">
        <v>332</v>
      </c>
      <c r="H201" s="32"/>
      <c r="I201" s="30">
        <v>45916</v>
      </c>
      <c r="J201" s="30"/>
      <c r="K201" s="200">
        <f t="shared" si="13"/>
        <v>46006</v>
      </c>
      <c r="L201" s="30">
        <v>46113</v>
      </c>
      <c r="M201" s="30">
        <v>46142</v>
      </c>
      <c r="N201" s="32">
        <v>30</v>
      </c>
      <c r="O201" s="201">
        <f t="shared" si="11"/>
        <v>165.9</v>
      </c>
      <c r="P201" s="40">
        <f t="shared" si="14"/>
        <v>30</v>
      </c>
      <c r="Q201" s="33">
        <f t="shared" si="12"/>
        <v>165.9</v>
      </c>
      <c r="R201" s="202"/>
      <c r="S201" s="34"/>
      <c r="T201" s="44"/>
      <c r="U201" s="44"/>
      <c r="V201" s="44"/>
      <c r="W201" s="44"/>
    </row>
    <row r="202" s="21" customFormat="1" ht="30" spans="1:23">
      <c r="A202" s="27">
        <v>26</v>
      </c>
      <c r="B202" s="27" t="s">
        <v>21</v>
      </c>
      <c r="C202" s="27" t="s">
        <v>22</v>
      </c>
      <c r="D202" s="29">
        <v>1</v>
      </c>
      <c r="E202" s="27" t="s">
        <v>53</v>
      </c>
      <c r="F202" s="28">
        <v>5.53</v>
      </c>
      <c r="G202" s="126" t="s">
        <v>333</v>
      </c>
      <c r="H202" s="32"/>
      <c r="I202" s="30">
        <v>45916</v>
      </c>
      <c r="J202" s="30"/>
      <c r="K202" s="200">
        <f t="shared" si="13"/>
        <v>46006</v>
      </c>
      <c r="L202" s="30">
        <v>46113</v>
      </c>
      <c r="M202" s="30">
        <v>46142</v>
      </c>
      <c r="N202" s="32">
        <v>30</v>
      </c>
      <c r="O202" s="201">
        <f t="shared" si="11"/>
        <v>165.9</v>
      </c>
      <c r="P202" s="40">
        <f t="shared" si="14"/>
        <v>30</v>
      </c>
      <c r="Q202" s="33">
        <f t="shared" si="12"/>
        <v>165.9</v>
      </c>
      <c r="R202" s="202"/>
      <c r="S202" s="34"/>
      <c r="T202" s="44"/>
      <c r="U202" s="44"/>
      <c r="V202" s="44"/>
      <c r="W202" s="44"/>
    </row>
    <row r="203" s="21" customFormat="1" ht="30" spans="1:23">
      <c r="A203" s="27">
        <v>26</v>
      </c>
      <c r="B203" s="27" t="s">
        <v>21</v>
      </c>
      <c r="C203" s="27" t="s">
        <v>22</v>
      </c>
      <c r="D203" s="29">
        <v>1</v>
      </c>
      <c r="E203" s="27" t="s">
        <v>53</v>
      </c>
      <c r="F203" s="28">
        <v>5.53</v>
      </c>
      <c r="G203" s="126" t="s">
        <v>334</v>
      </c>
      <c r="H203" s="32"/>
      <c r="I203" s="30">
        <v>45916</v>
      </c>
      <c r="J203" s="30"/>
      <c r="K203" s="200">
        <f t="shared" si="13"/>
        <v>46006</v>
      </c>
      <c r="L203" s="30">
        <v>46113</v>
      </c>
      <c r="M203" s="30">
        <v>46142</v>
      </c>
      <c r="N203" s="32">
        <v>30</v>
      </c>
      <c r="O203" s="201">
        <f t="shared" si="11"/>
        <v>165.9</v>
      </c>
      <c r="P203" s="40">
        <f t="shared" si="14"/>
        <v>30</v>
      </c>
      <c r="Q203" s="33">
        <f t="shared" si="12"/>
        <v>165.9</v>
      </c>
      <c r="R203" s="202"/>
      <c r="S203" s="34"/>
      <c r="T203" s="44"/>
      <c r="U203" s="44"/>
      <c r="V203" s="44"/>
      <c r="W203" s="44"/>
    </row>
    <row r="204" s="21" customFormat="1" ht="30" spans="1:23">
      <c r="A204" s="27">
        <v>26</v>
      </c>
      <c r="B204" s="27" t="s">
        <v>21</v>
      </c>
      <c r="C204" s="27" t="s">
        <v>22</v>
      </c>
      <c r="D204" s="29">
        <v>1</v>
      </c>
      <c r="E204" s="27" t="s">
        <v>53</v>
      </c>
      <c r="F204" s="28">
        <v>5.53</v>
      </c>
      <c r="G204" s="126" t="s">
        <v>335</v>
      </c>
      <c r="H204" s="32"/>
      <c r="I204" s="30">
        <v>45916</v>
      </c>
      <c r="J204" s="30"/>
      <c r="K204" s="200">
        <f t="shared" si="13"/>
        <v>46006</v>
      </c>
      <c r="L204" s="30">
        <v>46113</v>
      </c>
      <c r="M204" s="30">
        <v>46142</v>
      </c>
      <c r="N204" s="32">
        <v>30</v>
      </c>
      <c r="O204" s="201">
        <f t="shared" si="11"/>
        <v>165.9</v>
      </c>
      <c r="P204" s="40">
        <f t="shared" si="14"/>
        <v>30</v>
      </c>
      <c r="Q204" s="33">
        <f t="shared" si="12"/>
        <v>165.9</v>
      </c>
      <c r="R204" s="202"/>
      <c r="S204" s="34"/>
      <c r="T204" s="44"/>
      <c r="U204" s="44"/>
      <c r="V204" s="44"/>
      <c r="W204" s="44"/>
    </row>
    <row r="205" s="21" customFormat="1" ht="30" spans="1:23">
      <c r="A205" s="27">
        <v>26</v>
      </c>
      <c r="B205" s="27" t="s">
        <v>21</v>
      </c>
      <c r="C205" s="27" t="s">
        <v>22</v>
      </c>
      <c r="D205" s="29">
        <v>1</v>
      </c>
      <c r="E205" s="27" t="s">
        <v>53</v>
      </c>
      <c r="F205" s="28">
        <v>5.53</v>
      </c>
      <c r="G205" s="126" t="s">
        <v>336</v>
      </c>
      <c r="H205" s="32"/>
      <c r="I205" s="30">
        <v>45916</v>
      </c>
      <c r="J205" s="30"/>
      <c r="K205" s="200">
        <f t="shared" si="13"/>
        <v>46006</v>
      </c>
      <c r="L205" s="30">
        <v>46113</v>
      </c>
      <c r="M205" s="30">
        <v>46142</v>
      </c>
      <c r="N205" s="32">
        <v>30</v>
      </c>
      <c r="O205" s="201">
        <f t="shared" si="11"/>
        <v>165.9</v>
      </c>
      <c r="P205" s="40">
        <f t="shared" si="14"/>
        <v>30</v>
      </c>
      <c r="Q205" s="33">
        <f t="shared" si="12"/>
        <v>165.9</v>
      </c>
      <c r="R205" s="202"/>
      <c r="S205" s="34"/>
      <c r="T205" s="44"/>
      <c r="U205" s="44"/>
      <c r="V205" s="44"/>
      <c r="W205" s="44"/>
    </row>
    <row r="206" s="21" customFormat="1" ht="30" spans="1:23">
      <c r="A206" s="27">
        <v>26</v>
      </c>
      <c r="B206" s="27" t="s">
        <v>21</v>
      </c>
      <c r="C206" s="27" t="s">
        <v>22</v>
      </c>
      <c r="D206" s="29">
        <v>1</v>
      </c>
      <c r="E206" s="27" t="s">
        <v>53</v>
      </c>
      <c r="F206" s="28">
        <v>5.53</v>
      </c>
      <c r="G206" s="126" t="s">
        <v>337</v>
      </c>
      <c r="H206" s="32"/>
      <c r="I206" s="30">
        <v>45916</v>
      </c>
      <c r="J206" s="30"/>
      <c r="K206" s="200">
        <f t="shared" si="13"/>
        <v>46006</v>
      </c>
      <c r="L206" s="30">
        <v>46113</v>
      </c>
      <c r="M206" s="30">
        <v>46142</v>
      </c>
      <c r="N206" s="32">
        <v>30</v>
      </c>
      <c r="O206" s="201">
        <f t="shared" si="11"/>
        <v>165.9</v>
      </c>
      <c r="P206" s="40">
        <f t="shared" si="14"/>
        <v>30</v>
      </c>
      <c r="Q206" s="33">
        <f t="shared" si="12"/>
        <v>165.9</v>
      </c>
      <c r="R206" s="202"/>
      <c r="S206" s="34"/>
      <c r="T206" s="44"/>
      <c r="U206" s="44"/>
      <c r="V206" s="44"/>
      <c r="W206" s="44"/>
    </row>
    <row r="207" s="21" customFormat="1" ht="30" spans="1:23">
      <c r="A207" s="27">
        <v>26</v>
      </c>
      <c r="B207" s="27" t="s">
        <v>21</v>
      </c>
      <c r="C207" s="27" t="s">
        <v>22</v>
      </c>
      <c r="D207" s="29">
        <v>1</v>
      </c>
      <c r="E207" s="27" t="s">
        <v>53</v>
      </c>
      <c r="F207" s="28">
        <v>5.53</v>
      </c>
      <c r="G207" s="126" t="s">
        <v>338</v>
      </c>
      <c r="H207" s="32"/>
      <c r="I207" s="30">
        <v>45916</v>
      </c>
      <c r="J207" s="30"/>
      <c r="K207" s="200">
        <f t="shared" si="13"/>
        <v>46006</v>
      </c>
      <c r="L207" s="30">
        <v>46113</v>
      </c>
      <c r="M207" s="30">
        <v>46142</v>
      </c>
      <c r="N207" s="32">
        <v>30</v>
      </c>
      <c r="O207" s="201">
        <f t="shared" si="11"/>
        <v>165.9</v>
      </c>
      <c r="P207" s="40">
        <f t="shared" si="14"/>
        <v>30</v>
      </c>
      <c r="Q207" s="33">
        <f t="shared" si="12"/>
        <v>165.9</v>
      </c>
      <c r="R207" s="202"/>
      <c r="S207" s="34"/>
      <c r="T207" s="44"/>
      <c r="U207" s="44"/>
      <c r="V207" s="44"/>
      <c r="W207" s="44"/>
    </row>
    <row r="208" s="21" customFormat="1" ht="30" spans="1:23">
      <c r="A208" s="27">
        <v>26</v>
      </c>
      <c r="B208" s="27" t="s">
        <v>21</v>
      </c>
      <c r="C208" s="27" t="s">
        <v>22</v>
      </c>
      <c r="D208" s="29">
        <v>1</v>
      </c>
      <c r="E208" s="27" t="s">
        <v>53</v>
      </c>
      <c r="F208" s="28">
        <v>5.53</v>
      </c>
      <c r="G208" s="126" t="s">
        <v>339</v>
      </c>
      <c r="H208" s="32"/>
      <c r="I208" s="30">
        <v>45916</v>
      </c>
      <c r="J208" s="30"/>
      <c r="K208" s="200">
        <f t="shared" si="13"/>
        <v>46006</v>
      </c>
      <c r="L208" s="30">
        <v>46113</v>
      </c>
      <c r="M208" s="30">
        <v>46142</v>
      </c>
      <c r="N208" s="32">
        <v>30</v>
      </c>
      <c r="O208" s="201">
        <f t="shared" si="11"/>
        <v>165.9</v>
      </c>
      <c r="P208" s="40">
        <f t="shared" si="14"/>
        <v>30</v>
      </c>
      <c r="Q208" s="33">
        <f t="shared" si="12"/>
        <v>165.9</v>
      </c>
      <c r="R208" s="202"/>
      <c r="S208" s="34"/>
      <c r="T208" s="44"/>
      <c r="U208" s="44"/>
      <c r="V208" s="44"/>
      <c r="W208" s="44"/>
    </row>
    <row r="209" s="21" customFormat="1" ht="30" spans="1:23">
      <c r="A209" s="27">
        <v>26</v>
      </c>
      <c r="B209" s="27" t="s">
        <v>21</v>
      </c>
      <c r="C209" s="27" t="s">
        <v>22</v>
      </c>
      <c r="D209" s="29">
        <v>1</v>
      </c>
      <c r="E209" s="27" t="s">
        <v>53</v>
      </c>
      <c r="F209" s="28">
        <v>5.53</v>
      </c>
      <c r="G209" s="126" t="s">
        <v>340</v>
      </c>
      <c r="H209" s="32"/>
      <c r="I209" s="30">
        <v>45916</v>
      </c>
      <c r="J209" s="30"/>
      <c r="K209" s="200">
        <f t="shared" si="13"/>
        <v>46006</v>
      </c>
      <c r="L209" s="30">
        <v>46113</v>
      </c>
      <c r="M209" s="30">
        <v>46142</v>
      </c>
      <c r="N209" s="32">
        <v>30</v>
      </c>
      <c r="O209" s="201">
        <f t="shared" si="11"/>
        <v>165.9</v>
      </c>
      <c r="P209" s="40">
        <f t="shared" si="14"/>
        <v>30</v>
      </c>
      <c r="Q209" s="33">
        <f t="shared" si="12"/>
        <v>165.9</v>
      </c>
      <c r="R209" s="202"/>
      <c r="S209" s="34"/>
      <c r="T209" s="44"/>
      <c r="U209" s="44"/>
      <c r="V209" s="44"/>
      <c r="W209" s="44"/>
    </row>
    <row r="210" s="21" customFormat="1" ht="30" spans="1:23">
      <c r="A210" s="27">
        <v>26</v>
      </c>
      <c r="B210" s="27" t="s">
        <v>21</v>
      </c>
      <c r="C210" s="27" t="s">
        <v>22</v>
      </c>
      <c r="D210" s="29">
        <v>1</v>
      </c>
      <c r="E210" s="27" t="s">
        <v>53</v>
      </c>
      <c r="F210" s="28">
        <v>5.53</v>
      </c>
      <c r="G210" s="126" t="s">
        <v>341</v>
      </c>
      <c r="H210" s="32"/>
      <c r="I210" s="30">
        <v>45916</v>
      </c>
      <c r="J210" s="30"/>
      <c r="K210" s="200">
        <f t="shared" si="13"/>
        <v>46006</v>
      </c>
      <c r="L210" s="30">
        <v>46113</v>
      </c>
      <c r="M210" s="30">
        <v>46142</v>
      </c>
      <c r="N210" s="32">
        <v>30</v>
      </c>
      <c r="O210" s="201">
        <f t="shared" si="11"/>
        <v>165.9</v>
      </c>
      <c r="P210" s="40">
        <f t="shared" si="14"/>
        <v>30</v>
      </c>
      <c r="Q210" s="33">
        <f t="shared" si="12"/>
        <v>165.9</v>
      </c>
      <c r="R210" s="202"/>
      <c r="S210" s="34"/>
      <c r="T210" s="44"/>
      <c r="U210" s="44"/>
      <c r="V210" s="44"/>
      <c r="W210" s="44"/>
    </row>
    <row r="211" s="21" customFormat="1" ht="30" spans="1:23">
      <c r="A211" s="27">
        <v>26</v>
      </c>
      <c r="B211" s="27" t="s">
        <v>21</v>
      </c>
      <c r="C211" s="27" t="s">
        <v>22</v>
      </c>
      <c r="D211" s="29">
        <v>1</v>
      </c>
      <c r="E211" s="27" t="s">
        <v>53</v>
      </c>
      <c r="F211" s="28">
        <v>5.53</v>
      </c>
      <c r="G211" s="126" t="s">
        <v>342</v>
      </c>
      <c r="H211" s="32"/>
      <c r="I211" s="30">
        <v>45916</v>
      </c>
      <c r="J211" s="30"/>
      <c r="K211" s="200">
        <f t="shared" si="13"/>
        <v>46006</v>
      </c>
      <c r="L211" s="30">
        <v>46113</v>
      </c>
      <c r="M211" s="30">
        <v>46142</v>
      </c>
      <c r="N211" s="32">
        <v>30</v>
      </c>
      <c r="O211" s="201">
        <f t="shared" si="11"/>
        <v>165.9</v>
      </c>
      <c r="P211" s="40">
        <f t="shared" si="14"/>
        <v>30</v>
      </c>
      <c r="Q211" s="33">
        <f t="shared" si="12"/>
        <v>165.9</v>
      </c>
      <c r="R211" s="202"/>
      <c r="S211" s="34"/>
      <c r="T211" s="44"/>
      <c r="U211" s="44"/>
      <c r="V211" s="44"/>
      <c r="W211" s="44"/>
    </row>
    <row r="212" s="21" customFormat="1" ht="30" spans="1:23">
      <c r="A212" s="27">
        <v>26</v>
      </c>
      <c r="B212" s="27" t="s">
        <v>21</v>
      </c>
      <c r="C212" s="27" t="s">
        <v>22</v>
      </c>
      <c r="D212" s="29">
        <v>1</v>
      </c>
      <c r="E212" s="27" t="s">
        <v>53</v>
      </c>
      <c r="F212" s="28">
        <v>5.53</v>
      </c>
      <c r="G212" s="126" t="s">
        <v>343</v>
      </c>
      <c r="H212" s="32"/>
      <c r="I212" s="30">
        <v>45916</v>
      </c>
      <c r="J212" s="30"/>
      <c r="K212" s="200">
        <f t="shared" si="13"/>
        <v>46006</v>
      </c>
      <c r="L212" s="30">
        <v>46113</v>
      </c>
      <c r="M212" s="30">
        <v>46142</v>
      </c>
      <c r="N212" s="32">
        <v>30</v>
      </c>
      <c r="O212" s="201">
        <f t="shared" si="11"/>
        <v>165.9</v>
      </c>
      <c r="P212" s="40">
        <f t="shared" si="14"/>
        <v>30</v>
      </c>
      <c r="Q212" s="33">
        <f t="shared" si="12"/>
        <v>165.9</v>
      </c>
      <c r="R212" s="202"/>
      <c r="S212" s="34"/>
      <c r="T212" s="44"/>
      <c r="U212" s="44"/>
      <c r="V212" s="44"/>
      <c r="W212" s="44"/>
    </row>
    <row r="213" s="21" customFormat="1" ht="30" spans="1:23">
      <c r="A213" s="27">
        <v>26</v>
      </c>
      <c r="B213" s="27" t="s">
        <v>21</v>
      </c>
      <c r="C213" s="27" t="s">
        <v>22</v>
      </c>
      <c r="D213" s="29">
        <v>1</v>
      </c>
      <c r="E213" s="27" t="s">
        <v>53</v>
      </c>
      <c r="F213" s="28">
        <v>5.53</v>
      </c>
      <c r="G213" s="126" t="s">
        <v>344</v>
      </c>
      <c r="H213" s="32"/>
      <c r="I213" s="30">
        <v>45916</v>
      </c>
      <c r="J213" s="30"/>
      <c r="K213" s="200">
        <f t="shared" si="13"/>
        <v>46006</v>
      </c>
      <c r="L213" s="30">
        <v>46113</v>
      </c>
      <c r="M213" s="30">
        <v>46142</v>
      </c>
      <c r="N213" s="32">
        <v>30</v>
      </c>
      <c r="O213" s="201">
        <f t="shared" si="11"/>
        <v>165.9</v>
      </c>
      <c r="P213" s="40">
        <f t="shared" si="14"/>
        <v>30</v>
      </c>
      <c r="Q213" s="33">
        <f t="shared" si="12"/>
        <v>165.9</v>
      </c>
      <c r="R213" s="202"/>
      <c r="S213" s="34"/>
      <c r="T213" s="44"/>
      <c r="U213" s="44"/>
      <c r="V213" s="44"/>
      <c r="W213" s="44"/>
    </row>
    <row r="214" s="21" customFormat="1" ht="30" spans="1:23">
      <c r="A214" s="27">
        <v>26</v>
      </c>
      <c r="B214" s="27" t="s">
        <v>21</v>
      </c>
      <c r="C214" s="27" t="s">
        <v>22</v>
      </c>
      <c r="D214" s="29">
        <v>1</v>
      </c>
      <c r="E214" s="27" t="s">
        <v>53</v>
      </c>
      <c r="F214" s="28">
        <v>5.53</v>
      </c>
      <c r="G214" s="126" t="s">
        <v>345</v>
      </c>
      <c r="H214" s="32"/>
      <c r="I214" s="30">
        <v>45916</v>
      </c>
      <c r="J214" s="30"/>
      <c r="K214" s="200">
        <f t="shared" si="13"/>
        <v>46006</v>
      </c>
      <c r="L214" s="30">
        <v>46113</v>
      </c>
      <c r="M214" s="30">
        <v>46142</v>
      </c>
      <c r="N214" s="32">
        <v>30</v>
      </c>
      <c r="O214" s="201">
        <f t="shared" si="11"/>
        <v>165.9</v>
      </c>
      <c r="P214" s="40">
        <f t="shared" si="14"/>
        <v>30</v>
      </c>
      <c r="Q214" s="33">
        <f t="shared" si="12"/>
        <v>165.9</v>
      </c>
      <c r="R214" s="202"/>
      <c r="S214" s="34"/>
      <c r="T214" s="44"/>
      <c r="U214" s="44"/>
      <c r="V214" s="44"/>
      <c r="W214" s="44"/>
    </row>
    <row r="215" s="58" customFormat="1" ht="30" spans="1:23">
      <c r="A215" s="27">
        <v>26</v>
      </c>
      <c r="B215" s="27" t="s">
        <v>21</v>
      </c>
      <c r="C215" s="27" t="s">
        <v>22</v>
      </c>
      <c r="D215" s="29">
        <v>1</v>
      </c>
      <c r="E215" s="27" t="s">
        <v>53</v>
      </c>
      <c r="F215" s="28">
        <v>5.53</v>
      </c>
      <c r="G215" s="126" t="s">
        <v>346</v>
      </c>
      <c r="H215" s="203"/>
      <c r="I215" s="30">
        <v>45916</v>
      </c>
      <c r="J215" s="30"/>
      <c r="K215" s="200">
        <f t="shared" si="13"/>
        <v>46006</v>
      </c>
      <c r="L215" s="30">
        <v>46113</v>
      </c>
      <c r="M215" s="30">
        <v>46142</v>
      </c>
      <c r="N215" s="32">
        <v>30</v>
      </c>
      <c r="O215" s="201">
        <f t="shared" si="11"/>
        <v>165.9</v>
      </c>
      <c r="P215" s="40">
        <f t="shared" si="14"/>
        <v>30</v>
      </c>
      <c r="Q215" s="33">
        <f t="shared" si="12"/>
        <v>165.9</v>
      </c>
      <c r="R215" s="202"/>
      <c r="S215" s="34"/>
    </row>
    <row r="216" s="58" customFormat="1" ht="30" spans="1:23">
      <c r="A216" s="27">
        <v>26</v>
      </c>
      <c r="B216" s="27" t="s">
        <v>21</v>
      </c>
      <c r="C216" s="27" t="s">
        <v>22</v>
      </c>
      <c r="D216" s="29">
        <v>1</v>
      </c>
      <c r="E216" s="27" t="s">
        <v>53</v>
      </c>
      <c r="F216" s="28">
        <v>5.53</v>
      </c>
      <c r="G216" s="126" t="s">
        <v>347</v>
      </c>
      <c r="H216" s="203"/>
      <c r="I216" s="30">
        <v>45916</v>
      </c>
      <c r="J216" s="30"/>
      <c r="K216" s="200">
        <f t="shared" si="13"/>
        <v>46006</v>
      </c>
      <c r="L216" s="30">
        <v>46113</v>
      </c>
      <c r="M216" s="30">
        <v>46142</v>
      </c>
      <c r="N216" s="32">
        <v>30</v>
      </c>
      <c r="O216" s="201">
        <f t="shared" si="11"/>
        <v>165.9</v>
      </c>
      <c r="P216" s="40">
        <f t="shared" si="14"/>
        <v>30</v>
      </c>
      <c r="Q216" s="33">
        <f t="shared" si="12"/>
        <v>165.9</v>
      </c>
      <c r="R216" s="202"/>
      <c r="S216" s="34"/>
    </row>
    <row r="217" s="58" customFormat="1" ht="30" spans="1:23">
      <c r="A217" s="27">
        <v>26</v>
      </c>
      <c r="B217" s="27" t="s">
        <v>21</v>
      </c>
      <c r="C217" s="27" t="s">
        <v>22</v>
      </c>
      <c r="D217" s="29">
        <v>1</v>
      </c>
      <c r="E217" s="27" t="s">
        <v>53</v>
      </c>
      <c r="F217" s="28">
        <v>5.53</v>
      </c>
      <c r="G217" s="126" t="s">
        <v>348</v>
      </c>
      <c r="H217" s="203"/>
      <c r="I217" s="30">
        <v>45916</v>
      </c>
      <c r="J217" s="30"/>
      <c r="K217" s="200">
        <f t="shared" si="13"/>
        <v>46006</v>
      </c>
      <c r="L217" s="30">
        <v>46113</v>
      </c>
      <c r="M217" s="30">
        <v>46142</v>
      </c>
      <c r="N217" s="32">
        <v>30</v>
      </c>
      <c r="O217" s="201">
        <f t="shared" si="11"/>
        <v>165.9</v>
      </c>
      <c r="P217" s="40">
        <f t="shared" si="14"/>
        <v>30</v>
      </c>
      <c r="Q217" s="33">
        <f t="shared" si="12"/>
        <v>165.9</v>
      </c>
      <c r="R217" s="202"/>
      <c r="S217" s="34"/>
    </row>
    <row r="218" s="58" customFormat="1" ht="30" spans="1:23">
      <c r="A218" s="27">
        <v>26</v>
      </c>
      <c r="B218" s="27" t="s">
        <v>21</v>
      </c>
      <c r="C218" s="27" t="s">
        <v>22</v>
      </c>
      <c r="D218" s="29">
        <v>1</v>
      </c>
      <c r="E218" s="27" t="s">
        <v>53</v>
      </c>
      <c r="F218" s="28">
        <v>5.53</v>
      </c>
      <c r="G218" s="126" t="s">
        <v>349</v>
      </c>
      <c r="H218" s="203"/>
      <c r="I218" s="30">
        <v>45916</v>
      </c>
      <c r="J218" s="30"/>
      <c r="K218" s="200">
        <f t="shared" si="13"/>
        <v>46006</v>
      </c>
      <c r="L218" s="30">
        <v>46113</v>
      </c>
      <c r="M218" s="30">
        <v>46142</v>
      </c>
      <c r="N218" s="32">
        <v>30</v>
      </c>
      <c r="O218" s="201">
        <f t="shared" si="11"/>
        <v>165.9</v>
      </c>
      <c r="P218" s="40">
        <f t="shared" si="14"/>
        <v>30</v>
      </c>
      <c r="Q218" s="33">
        <f t="shared" si="12"/>
        <v>165.9</v>
      </c>
      <c r="R218" s="202"/>
      <c r="S218" s="34"/>
    </row>
    <row r="219" s="58" customFormat="1" ht="30" spans="1:23">
      <c r="A219" s="27">
        <v>26</v>
      </c>
      <c r="B219" s="27" t="s">
        <v>21</v>
      </c>
      <c r="C219" s="27" t="s">
        <v>22</v>
      </c>
      <c r="D219" s="29">
        <v>1</v>
      </c>
      <c r="E219" s="27" t="s">
        <v>53</v>
      </c>
      <c r="F219" s="28">
        <v>5.53</v>
      </c>
      <c r="G219" s="126" t="s">
        <v>350</v>
      </c>
      <c r="H219" s="203"/>
      <c r="I219" s="30">
        <v>45916</v>
      </c>
      <c r="J219" s="30"/>
      <c r="K219" s="200">
        <f t="shared" si="13"/>
        <v>46006</v>
      </c>
      <c r="L219" s="30">
        <v>46113</v>
      </c>
      <c r="M219" s="30">
        <v>46142</v>
      </c>
      <c r="N219" s="32">
        <v>30</v>
      </c>
      <c r="O219" s="201">
        <f t="shared" si="11"/>
        <v>165.9</v>
      </c>
      <c r="P219" s="40">
        <f t="shared" si="14"/>
        <v>30</v>
      </c>
      <c r="Q219" s="33">
        <f t="shared" si="12"/>
        <v>165.9</v>
      </c>
      <c r="R219" s="202"/>
      <c r="S219" s="34"/>
    </row>
    <row r="220" s="58" customFormat="1" ht="30" spans="1:23">
      <c r="A220" s="27">
        <v>26</v>
      </c>
      <c r="B220" s="27" t="s">
        <v>21</v>
      </c>
      <c r="C220" s="27" t="s">
        <v>22</v>
      </c>
      <c r="D220" s="29">
        <v>1</v>
      </c>
      <c r="E220" s="27" t="s">
        <v>53</v>
      </c>
      <c r="F220" s="28">
        <v>5.53</v>
      </c>
      <c r="G220" s="126" t="s">
        <v>351</v>
      </c>
      <c r="H220" s="203"/>
      <c r="I220" s="30">
        <v>45916</v>
      </c>
      <c r="J220" s="30"/>
      <c r="K220" s="200">
        <f t="shared" si="13"/>
        <v>46006</v>
      </c>
      <c r="L220" s="30">
        <v>46113</v>
      </c>
      <c r="M220" s="30">
        <v>46142</v>
      </c>
      <c r="N220" s="32">
        <v>30</v>
      </c>
      <c r="O220" s="201">
        <f t="shared" si="11"/>
        <v>165.9</v>
      </c>
      <c r="P220" s="40">
        <f t="shared" si="14"/>
        <v>30</v>
      </c>
      <c r="Q220" s="33">
        <f t="shared" si="12"/>
        <v>165.9</v>
      </c>
      <c r="R220" s="202"/>
      <c r="S220" s="34"/>
    </row>
    <row r="221" s="58" customFormat="1" ht="30" spans="1:23">
      <c r="A221" s="27">
        <v>26</v>
      </c>
      <c r="B221" s="27" t="s">
        <v>21</v>
      </c>
      <c r="C221" s="27" t="s">
        <v>22</v>
      </c>
      <c r="D221" s="29">
        <v>1</v>
      </c>
      <c r="E221" s="27" t="s">
        <v>53</v>
      </c>
      <c r="F221" s="28">
        <v>5.53</v>
      </c>
      <c r="G221" s="126" t="s">
        <v>352</v>
      </c>
      <c r="H221" s="203"/>
      <c r="I221" s="30">
        <v>45916</v>
      </c>
      <c r="J221" s="30"/>
      <c r="K221" s="200">
        <f t="shared" si="13"/>
        <v>46006</v>
      </c>
      <c r="L221" s="30">
        <v>46113</v>
      </c>
      <c r="M221" s="30">
        <v>46142</v>
      </c>
      <c r="N221" s="32">
        <v>30</v>
      </c>
      <c r="O221" s="201">
        <f t="shared" si="11"/>
        <v>165.9</v>
      </c>
      <c r="P221" s="40">
        <f t="shared" si="14"/>
        <v>30</v>
      </c>
      <c r="Q221" s="33">
        <f t="shared" si="12"/>
        <v>165.9</v>
      </c>
      <c r="R221" s="202"/>
      <c r="S221" s="34"/>
    </row>
    <row r="222" s="58" customFormat="1" ht="30" spans="1:23">
      <c r="A222" s="27">
        <v>26</v>
      </c>
      <c r="B222" s="27" t="s">
        <v>21</v>
      </c>
      <c r="C222" s="27" t="s">
        <v>22</v>
      </c>
      <c r="D222" s="29">
        <v>1</v>
      </c>
      <c r="E222" s="27" t="s">
        <v>53</v>
      </c>
      <c r="F222" s="28">
        <v>5.53</v>
      </c>
      <c r="G222" s="126" t="s">
        <v>353</v>
      </c>
      <c r="H222" s="203"/>
      <c r="I222" s="30">
        <v>45916</v>
      </c>
      <c r="J222" s="30"/>
      <c r="K222" s="200">
        <f t="shared" si="13"/>
        <v>46006</v>
      </c>
      <c r="L222" s="30">
        <v>46113</v>
      </c>
      <c r="M222" s="30">
        <v>46142</v>
      </c>
      <c r="N222" s="32">
        <v>30</v>
      </c>
      <c r="O222" s="201">
        <f t="shared" si="11"/>
        <v>165.9</v>
      </c>
      <c r="P222" s="40">
        <f t="shared" si="14"/>
        <v>30</v>
      </c>
      <c r="Q222" s="33">
        <f t="shared" si="12"/>
        <v>165.9</v>
      </c>
      <c r="R222" s="202"/>
      <c r="S222" s="34"/>
    </row>
    <row r="223" s="58" customFormat="1" ht="30" spans="1:23">
      <c r="A223" s="27">
        <v>26</v>
      </c>
      <c r="B223" s="27" t="s">
        <v>21</v>
      </c>
      <c r="C223" s="27" t="s">
        <v>22</v>
      </c>
      <c r="D223" s="29">
        <v>1</v>
      </c>
      <c r="E223" s="27" t="s">
        <v>53</v>
      </c>
      <c r="F223" s="28">
        <v>5.53</v>
      </c>
      <c r="G223" s="126" t="s">
        <v>354</v>
      </c>
      <c r="H223" s="203"/>
      <c r="I223" s="30">
        <v>45916</v>
      </c>
      <c r="J223" s="30"/>
      <c r="K223" s="200">
        <f t="shared" si="13"/>
        <v>46006</v>
      </c>
      <c r="L223" s="30">
        <v>46113</v>
      </c>
      <c r="M223" s="30">
        <v>46142</v>
      </c>
      <c r="N223" s="32">
        <v>30</v>
      </c>
      <c r="O223" s="201">
        <f t="shared" si="11"/>
        <v>165.9</v>
      </c>
      <c r="P223" s="40">
        <f t="shared" si="14"/>
        <v>30</v>
      </c>
      <c r="Q223" s="33">
        <f t="shared" si="12"/>
        <v>165.9</v>
      </c>
      <c r="R223" s="202"/>
      <c r="S223" s="34"/>
    </row>
    <row r="224" s="58" customFormat="1" ht="30" spans="1:23">
      <c r="A224" s="27">
        <v>26</v>
      </c>
      <c r="B224" s="27" t="s">
        <v>21</v>
      </c>
      <c r="C224" s="27" t="s">
        <v>22</v>
      </c>
      <c r="D224" s="29">
        <v>1</v>
      </c>
      <c r="E224" s="27" t="s">
        <v>53</v>
      </c>
      <c r="F224" s="28">
        <v>5.53</v>
      </c>
      <c r="G224" s="126" t="s">
        <v>355</v>
      </c>
      <c r="H224" s="203"/>
      <c r="I224" s="30">
        <v>45916</v>
      </c>
      <c r="J224" s="30"/>
      <c r="K224" s="200">
        <f t="shared" si="13"/>
        <v>46006</v>
      </c>
      <c r="L224" s="30">
        <v>46113</v>
      </c>
      <c r="M224" s="30">
        <v>46142</v>
      </c>
      <c r="N224" s="32">
        <v>30</v>
      </c>
      <c r="O224" s="201">
        <f t="shared" si="11"/>
        <v>165.9</v>
      </c>
      <c r="P224" s="40">
        <f t="shared" si="14"/>
        <v>30</v>
      </c>
      <c r="Q224" s="33">
        <f t="shared" si="12"/>
        <v>165.9</v>
      </c>
      <c r="R224" s="202"/>
      <c r="S224" s="34"/>
    </row>
    <row r="225" s="58" customFormat="1" ht="30" spans="1:19">
      <c r="A225" s="27">
        <v>26</v>
      </c>
      <c r="B225" s="27" t="s">
        <v>21</v>
      </c>
      <c r="C225" s="27" t="s">
        <v>22</v>
      </c>
      <c r="D225" s="29">
        <v>1</v>
      </c>
      <c r="E225" s="27" t="s">
        <v>53</v>
      </c>
      <c r="F225" s="28">
        <v>5.53</v>
      </c>
      <c r="G225" s="126" t="s">
        <v>356</v>
      </c>
      <c r="H225" s="203"/>
      <c r="I225" s="30">
        <v>45916</v>
      </c>
      <c r="J225" s="30"/>
      <c r="K225" s="200">
        <f t="shared" si="13"/>
        <v>46006</v>
      </c>
      <c r="L225" s="30">
        <v>46113</v>
      </c>
      <c r="M225" s="30">
        <v>46142</v>
      </c>
      <c r="N225" s="32">
        <v>30</v>
      </c>
      <c r="O225" s="201">
        <f t="shared" si="11"/>
        <v>165.9</v>
      </c>
      <c r="P225" s="40">
        <f t="shared" si="14"/>
        <v>30</v>
      </c>
      <c r="Q225" s="33">
        <f t="shared" si="12"/>
        <v>165.9</v>
      </c>
      <c r="R225" s="202"/>
      <c r="S225" s="34"/>
    </row>
    <row r="226" s="58" customFormat="1" ht="30" spans="1:19">
      <c r="A226" s="27">
        <v>26</v>
      </c>
      <c r="B226" s="27" t="s">
        <v>21</v>
      </c>
      <c r="C226" s="27" t="s">
        <v>22</v>
      </c>
      <c r="D226" s="29">
        <v>1</v>
      </c>
      <c r="E226" s="27" t="s">
        <v>53</v>
      </c>
      <c r="F226" s="28">
        <v>5.53</v>
      </c>
      <c r="G226" s="126" t="s">
        <v>357</v>
      </c>
      <c r="H226" s="203"/>
      <c r="I226" s="30">
        <v>45916</v>
      </c>
      <c r="J226" s="30"/>
      <c r="K226" s="200">
        <f t="shared" si="13"/>
        <v>46006</v>
      </c>
      <c r="L226" s="30">
        <v>46113</v>
      </c>
      <c r="M226" s="30">
        <v>46142</v>
      </c>
      <c r="N226" s="32">
        <v>30</v>
      </c>
      <c r="O226" s="201">
        <f t="shared" si="11"/>
        <v>165.9</v>
      </c>
      <c r="P226" s="40">
        <f t="shared" si="14"/>
        <v>30</v>
      </c>
      <c r="Q226" s="33">
        <f t="shared" si="12"/>
        <v>165.9</v>
      </c>
      <c r="R226" s="202"/>
      <c r="S226" s="34"/>
    </row>
    <row r="227" s="58" customFormat="1" ht="30" spans="1:19">
      <c r="A227" s="27">
        <v>26</v>
      </c>
      <c r="B227" s="27" t="s">
        <v>21</v>
      </c>
      <c r="C227" s="27" t="s">
        <v>22</v>
      </c>
      <c r="D227" s="29">
        <v>1</v>
      </c>
      <c r="E227" s="27" t="s">
        <v>53</v>
      </c>
      <c r="F227" s="28">
        <v>5.53</v>
      </c>
      <c r="G227" s="126" t="s">
        <v>358</v>
      </c>
      <c r="H227" s="203"/>
      <c r="I227" s="30">
        <v>45916</v>
      </c>
      <c r="J227" s="30"/>
      <c r="K227" s="200">
        <f t="shared" si="13"/>
        <v>46006</v>
      </c>
      <c r="L227" s="30">
        <v>46113</v>
      </c>
      <c r="M227" s="30">
        <v>46142</v>
      </c>
      <c r="N227" s="32">
        <v>30</v>
      </c>
      <c r="O227" s="201">
        <f t="shared" si="11"/>
        <v>165.9</v>
      </c>
      <c r="P227" s="40">
        <f t="shared" si="14"/>
        <v>30</v>
      </c>
      <c r="Q227" s="33">
        <f t="shared" si="12"/>
        <v>165.9</v>
      </c>
      <c r="R227" s="202"/>
      <c r="S227" s="34"/>
    </row>
    <row r="228" s="58" customFormat="1" ht="30" spans="1:19">
      <c r="A228" s="27">
        <v>26</v>
      </c>
      <c r="B228" s="27" t="s">
        <v>21</v>
      </c>
      <c r="C228" s="27" t="s">
        <v>22</v>
      </c>
      <c r="D228" s="29">
        <v>1</v>
      </c>
      <c r="E228" s="27" t="s">
        <v>53</v>
      </c>
      <c r="F228" s="28">
        <v>5.53</v>
      </c>
      <c r="G228" s="126" t="s">
        <v>359</v>
      </c>
      <c r="H228" s="203"/>
      <c r="I228" s="30">
        <v>45916</v>
      </c>
      <c r="J228" s="30"/>
      <c r="K228" s="200">
        <f t="shared" si="13"/>
        <v>46006</v>
      </c>
      <c r="L228" s="30">
        <v>46113</v>
      </c>
      <c r="M228" s="30">
        <v>46142</v>
      </c>
      <c r="N228" s="32">
        <v>30</v>
      </c>
      <c r="O228" s="201">
        <f t="shared" si="11"/>
        <v>165.9</v>
      </c>
      <c r="P228" s="40">
        <f t="shared" si="14"/>
        <v>30</v>
      </c>
      <c r="Q228" s="33">
        <f t="shared" si="12"/>
        <v>165.9</v>
      </c>
      <c r="R228" s="202"/>
      <c r="S228" s="34"/>
    </row>
    <row r="229" s="58" customFormat="1" ht="30" spans="1:19">
      <c r="A229" s="27">
        <v>26</v>
      </c>
      <c r="B229" s="27" t="s">
        <v>21</v>
      </c>
      <c r="C229" s="27" t="s">
        <v>22</v>
      </c>
      <c r="D229" s="29">
        <v>1</v>
      </c>
      <c r="E229" s="27" t="s">
        <v>53</v>
      </c>
      <c r="F229" s="28">
        <v>5.53</v>
      </c>
      <c r="G229" s="126" t="s">
        <v>360</v>
      </c>
      <c r="H229" s="203"/>
      <c r="I229" s="30">
        <v>45916</v>
      </c>
      <c r="J229" s="30"/>
      <c r="K229" s="200">
        <f t="shared" si="13"/>
        <v>46006</v>
      </c>
      <c r="L229" s="30">
        <v>46113</v>
      </c>
      <c r="M229" s="30">
        <v>46142</v>
      </c>
      <c r="N229" s="32">
        <v>30</v>
      </c>
      <c r="O229" s="201">
        <f t="shared" si="11"/>
        <v>165.9</v>
      </c>
      <c r="P229" s="40">
        <f t="shared" si="14"/>
        <v>30</v>
      </c>
      <c r="Q229" s="33">
        <f t="shared" si="12"/>
        <v>165.9</v>
      </c>
      <c r="R229" s="202"/>
      <c r="S229" s="34"/>
    </row>
    <row r="230" s="58" customFormat="1" ht="30" spans="1:19">
      <c r="A230" s="27">
        <v>26</v>
      </c>
      <c r="B230" s="27" t="s">
        <v>21</v>
      </c>
      <c r="C230" s="27" t="s">
        <v>22</v>
      </c>
      <c r="D230" s="29">
        <v>1</v>
      </c>
      <c r="E230" s="27" t="s">
        <v>53</v>
      </c>
      <c r="F230" s="28">
        <v>5.53</v>
      </c>
      <c r="G230" s="126" t="s">
        <v>361</v>
      </c>
      <c r="H230" s="203"/>
      <c r="I230" s="30">
        <v>45916</v>
      </c>
      <c r="J230" s="30"/>
      <c r="K230" s="200">
        <f t="shared" si="13"/>
        <v>46006</v>
      </c>
      <c r="L230" s="30">
        <v>46113</v>
      </c>
      <c r="M230" s="30">
        <v>46142</v>
      </c>
      <c r="N230" s="32">
        <v>30</v>
      </c>
      <c r="O230" s="201">
        <f t="shared" si="11"/>
        <v>165.9</v>
      </c>
      <c r="P230" s="40">
        <f t="shared" si="14"/>
        <v>30</v>
      </c>
      <c r="Q230" s="33">
        <f t="shared" si="12"/>
        <v>165.9</v>
      </c>
      <c r="R230" s="202"/>
      <c r="S230" s="34"/>
    </row>
    <row r="231" s="58" customFormat="1" ht="30" spans="1:19">
      <c r="A231" s="27">
        <v>26</v>
      </c>
      <c r="B231" s="27" t="s">
        <v>21</v>
      </c>
      <c r="C231" s="27" t="s">
        <v>22</v>
      </c>
      <c r="D231" s="29">
        <v>1</v>
      </c>
      <c r="E231" s="27" t="s">
        <v>53</v>
      </c>
      <c r="F231" s="28">
        <v>5.53</v>
      </c>
      <c r="G231" s="126" t="s">
        <v>362</v>
      </c>
      <c r="H231" s="203"/>
      <c r="I231" s="30">
        <v>45916</v>
      </c>
      <c r="J231" s="30"/>
      <c r="K231" s="200">
        <f t="shared" si="13"/>
        <v>46006</v>
      </c>
      <c r="L231" s="30">
        <v>46113</v>
      </c>
      <c r="M231" s="30">
        <v>46142</v>
      </c>
      <c r="N231" s="32">
        <v>30</v>
      </c>
      <c r="O231" s="201">
        <f t="shared" si="11"/>
        <v>165.9</v>
      </c>
      <c r="P231" s="40">
        <f t="shared" si="14"/>
        <v>30</v>
      </c>
      <c r="Q231" s="33">
        <f t="shared" si="12"/>
        <v>165.9</v>
      </c>
      <c r="R231" s="202"/>
      <c r="S231" s="34"/>
    </row>
    <row r="232" s="58" customFormat="1" ht="30" spans="1:19">
      <c r="A232" s="27">
        <v>26</v>
      </c>
      <c r="B232" s="27" t="s">
        <v>21</v>
      </c>
      <c r="C232" s="27" t="s">
        <v>22</v>
      </c>
      <c r="D232" s="29">
        <v>1</v>
      </c>
      <c r="E232" s="27" t="s">
        <v>53</v>
      </c>
      <c r="F232" s="28">
        <v>5.53</v>
      </c>
      <c r="G232" s="126" t="s">
        <v>363</v>
      </c>
      <c r="H232" s="203"/>
      <c r="I232" s="30">
        <v>45916</v>
      </c>
      <c r="J232" s="30"/>
      <c r="K232" s="200">
        <f t="shared" ref="K232:K263" si="15">I232+90</f>
        <v>46006</v>
      </c>
      <c r="L232" s="30">
        <v>46113</v>
      </c>
      <c r="M232" s="30">
        <v>46142</v>
      </c>
      <c r="N232" s="32">
        <v>30</v>
      </c>
      <c r="O232" s="201">
        <f t="shared" si="11"/>
        <v>165.9</v>
      </c>
      <c r="P232" s="40">
        <f t="shared" si="14"/>
        <v>30</v>
      </c>
      <c r="Q232" s="33">
        <f t="shared" si="12"/>
        <v>165.9</v>
      </c>
      <c r="R232" s="202"/>
      <c r="S232" s="34"/>
    </row>
    <row r="233" s="58" customFormat="1" ht="30" spans="1:19">
      <c r="A233" s="27">
        <v>26</v>
      </c>
      <c r="B233" s="27" t="s">
        <v>21</v>
      </c>
      <c r="C233" s="27" t="s">
        <v>22</v>
      </c>
      <c r="D233" s="29">
        <v>1</v>
      </c>
      <c r="E233" s="27" t="s">
        <v>53</v>
      </c>
      <c r="F233" s="28">
        <v>5.53</v>
      </c>
      <c r="G233" s="126" t="s">
        <v>364</v>
      </c>
      <c r="H233" s="203"/>
      <c r="I233" s="30">
        <v>46008</v>
      </c>
      <c r="J233" s="30"/>
      <c r="K233" s="200">
        <f t="shared" si="15"/>
        <v>46098</v>
      </c>
      <c r="L233" s="30">
        <v>46113</v>
      </c>
      <c r="M233" s="30">
        <v>46142</v>
      </c>
      <c r="N233" s="32">
        <v>30</v>
      </c>
      <c r="O233" s="201">
        <f t="shared" si="11"/>
        <v>165.9</v>
      </c>
      <c r="P233" s="40">
        <f t="shared" si="14"/>
        <v>30</v>
      </c>
      <c r="Q233" s="33">
        <f t="shared" si="12"/>
        <v>165.9</v>
      </c>
      <c r="R233" s="202"/>
      <c r="S233" s="34"/>
    </row>
    <row r="234" s="58" customFormat="1" ht="30" spans="1:19">
      <c r="A234" s="27">
        <v>26</v>
      </c>
      <c r="B234" s="27" t="s">
        <v>21</v>
      </c>
      <c r="C234" s="27" t="s">
        <v>22</v>
      </c>
      <c r="D234" s="29">
        <v>1</v>
      </c>
      <c r="E234" s="27" t="s">
        <v>53</v>
      </c>
      <c r="F234" s="28">
        <v>5.53</v>
      </c>
      <c r="G234" s="126" t="s">
        <v>365</v>
      </c>
      <c r="H234" s="203"/>
      <c r="I234" s="30">
        <v>46008</v>
      </c>
      <c r="J234" s="30"/>
      <c r="K234" s="200">
        <f t="shared" si="15"/>
        <v>46098</v>
      </c>
      <c r="L234" s="30">
        <v>46113</v>
      </c>
      <c r="M234" s="30">
        <v>46142</v>
      </c>
      <c r="N234" s="32">
        <v>30</v>
      </c>
      <c r="O234" s="201">
        <f t="shared" si="11"/>
        <v>165.9</v>
      </c>
      <c r="P234" s="40">
        <f t="shared" si="14"/>
        <v>30</v>
      </c>
      <c r="Q234" s="33">
        <f t="shared" si="12"/>
        <v>165.9</v>
      </c>
      <c r="R234" s="202"/>
      <c r="S234" s="34"/>
    </row>
    <row r="235" s="58" customFormat="1" ht="30" spans="1:19">
      <c r="A235" s="27">
        <v>26</v>
      </c>
      <c r="B235" s="27" t="s">
        <v>21</v>
      </c>
      <c r="C235" s="27" t="s">
        <v>22</v>
      </c>
      <c r="D235" s="29">
        <v>1</v>
      </c>
      <c r="E235" s="27" t="s">
        <v>53</v>
      </c>
      <c r="F235" s="28">
        <v>5.53</v>
      </c>
      <c r="G235" s="126" t="s">
        <v>366</v>
      </c>
      <c r="H235" s="203"/>
      <c r="I235" s="30">
        <v>46008</v>
      </c>
      <c r="J235" s="30"/>
      <c r="K235" s="200">
        <f t="shared" si="15"/>
        <v>46098</v>
      </c>
      <c r="L235" s="30">
        <v>46113</v>
      </c>
      <c r="M235" s="30">
        <v>46142</v>
      </c>
      <c r="N235" s="32">
        <v>30</v>
      </c>
      <c r="O235" s="201">
        <f t="shared" si="11"/>
        <v>165.9</v>
      </c>
      <c r="P235" s="40">
        <f t="shared" si="14"/>
        <v>30</v>
      </c>
      <c r="Q235" s="33">
        <f t="shared" si="12"/>
        <v>165.9</v>
      </c>
      <c r="R235" s="202"/>
      <c r="S235" s="34"/>
    </row>
    <row r="236" s="58" customFormat="1" ht="30" spans="1:19">
      <c r="A236" s="27">
        <v>26</v>
      </c>
      <c r="B236" s="27" t="s">
        <v>21</v>
      </c>
      <c r="C236" s="27" t="s">
        <v>22</v>
      </c>
      <c r="D236" s="29">
        <v>1</v>
      </c>
      <c r="E236" s="27" t="s">
        <v>53</v>
      </c>
      <c r="F236" s="28">
        <v>5.53</v>
      </c>
      <c r="G236" s="126" t="s">
        <v>367</v>
      </c>
      <c r="H236" s="203"/>
      <c r="I236" s="30">
        <v>46008</v>
      </c>
      <c r="J236" s="30"/>
      <c r="K236" s="200">
        <f t="shared" si="15"/>
        <v>46098</v>
      </c>
      <c r="L236" s="30">
        <v>46113</v>
      </c>
      <c r="M236" s="30">
        <v>46142</v>
      </c>
      <c r="N236" s="32">
        <v>30</v>
      </c>
      <c r="O236" s="201">
        <f t="shared" si="11"/>
        <v>165.9</v>
      </c>
      <c r="P236" s="40">
        <f t="shared" si="14"/>
        <v>30</v>
      </c>
      <c r="Q236" s="33">
        <f t="shared" si="12"/>
        <v>165.9</v>
      </c>
      <c r="R236" s="202"/>
      <c r="S236" s="34"/>
    </row>
    <row r="237" s="58" customFormat="1" ht="30" spans="1:19">
      <c r="A237" s="27">
        <v>26</v>
      </c>
      <c r="B237" s="27" t="s">
        <v>21</v>
      </c>
      <c r="C237" s="27" t="s">
        <v>22</v>
      </c>
      <c r="D237" s="29">
        <v>1</v>
      </c>
      <c r="E237" s="27" t="s">
        <v>53</v>
      </c>
      <c r="F237" s="28">
        <v>5.53</v>
      </c>
      <c r="G237" s="126" t="s">
        <v>368</v>
      </c>
      <c r="H237" s="203"/>
      <c r="I237" s="30">
        <v>46008</v>
      </c>
      <c r="J237" s="30"/>
      <c r="K237" s="200">
        <f t="shared" si="15"/>
        <v>46098</v>
      </c>
      <c r="L237" s="30">
        <v>46113</v>
      </c>
      <c r="M237" s="30">
        <v>46142</v>
      </c>
      <c r="N237" s="32">
        <v>30</v>
      </c>
      <c r="O237" s="201">
        <f t="shared" si="11"/>
        <v>165.9</v>
      </c>
      <c r="P237" s="40">
        <f t="shared" si="14"/>
        <v>30</v>
      </c>
      <c r="Q237" s="33">
        <f t="shared" si="12"/>
        <v>165.9</v>
      </c>
      <c r="R237" s="202"/>
      <c r="S237" s="34"/>
    </row>
    <row r="238" s="58" customFormat="1" ht="30" spans="1:19">
      <c r="A238" s="27">
        <v>26</v>
      </c>
      <c r="B238" s="27" t="s">
        <v>21</v>
      </c>
      <c r="C238" s="27" t="s">
        <v>22</v>
      </c>
      <c r="D238" s="29">
        <v>1</v>
      </c>
      <c r="E238" s="27" t="s">
        <v>53</v>
      </c>
      <c r="F238" s="28">
        <v>5.53</v>
      </c>
      <c r="G238" s="126" t="s">
        <v>369</v>
      </c>
      <c r="H238" s="203"/>
      <c r="I238" s="30">
        <v>46008</v>
      </c>
      <c r="J238" s="30"/>
      <c r="K238" s="200">
        <f t="shared" si="15"/>
        <v>46098</v>
      </c>
      <c r="L238" s="30">
        <v>46113</v>
      </c>
      <c r="M238" s="30">
        <v>46142</v>
      </c>
      <c r="N238" s="32">
        <v>30</v>
      </c>
      <c r="O238" s="201">
        <f t="shared" si="11"/>
        <v>165.9</v>
      </c>
      <c r="P238" s="40">
        <f t="shared" si="14"/>
        <v>30</v>
      </c>
      <c r="Q238" s="33">
        <f t="shared" si="12"/>
        <v>165.9</v>
      </c>
      <c r="R238" s="202"/>
      <c r="S238" s="34"/>
    </row>
    <row r="239" s="58" customFormat="1" ht="30" spans="1:19">
      <c r="A239" s="27">
        <v>26</v>
      </c>
      <c r="B239" s="27" t="s">
        <v>21</v>
      </c>
      <c r="C239" s="27" t="s">
        <v>22</v>
      </c>
      <c r="D239" s="29">
        <v>1</v>
      </c>
      <c r="E239" s="27" t="s">
        <v>53</v>
      </c>
      <c r="F239" s="28">
        <v>5.53</v>
      </c>
      <c r="G239" s="126" t="s">
        <v>370</v>
      </c>
      <c r="H239" s="203"/>
      <c r="I239" s="30">
        <v>46008</v>
      </c>
      <c r="J239" s="30"/>
      <c r="K239" s="200">
        <f t="shared" si="15"/>
        <v>46098</v>
      </c>
      <c r="L239" s="30">
        <v>46113</v>
      </c>
      <c r="M239" s="30">
        <v>46142</v>
      </c>
      <c r="N239" s="32">
        <v>30</v>
      </c>
      <c r="O239" s="201">
        <f t="shared" si="11"/>
        <v>165.9</v>
      </c>
      <c r="P239" s="40">
        <f t="shared" si="14"/>
        <v>30</v>
      </c>
      <c r="Q239" s="33">
        <f t="shared" si="12"/>
        <v>165.9</v>
      </c>
      <c r="R239" s="202"/>
      <c r="S239" s="34"/>
    </row>
    <row r="240" s="58" customFormat="1" ht="30" spans="1:19">
      <c r="A240" s="27">
        <v>26</v>
      </c>
      <c r="B240" s="27" t="s">
        <v>21</v>
      </c>
      <c r="C240" s="27" t="s">
        <v>22</v>
      </c>
      <c r="D240" s="29">
        <v>1</v>
      </c>
      <c r="E240" s="27" t="s">
        <v>53</v>
      </c>
      <c r="F240" s="28">
        <v>5.53</v>
      </c>
      <c r="G240" s="126" t="s">
        <v>371</v>
      </c>
      <c r="H240" s="203"/>
      <c r="I240" s="30">
        <v>46008</v>
      </c>
      <c r="J240" s="30"/>
      <c r="K240" s="200">
        <f t="shared" si="15"/>
        <v>46098</v>
      </c>
      <c r="L240" s="30">
        <v>46113</v>
      </c>
      <c r="M240" s="30">
        <v>46142</v>
      </c>
      <c r="N240" s="32">
        <v>30</v>
      </c>
      <c r="O240" s="201">
        <f t="shared" si="11"/>
        <v>165.9</v>
      </c>
      <c r="P240" s="40">
        <f t="shared" si="14"/>
        <v>30</v>
      </c>
      <c r="Q240" s="33">
        <f t="shared" si="12"/>
        <v>165.9</v>
      </c>
      <c r="R240" s="202"/>
      <c r="S240" s="34"/>
    </row>
    <row r="241" s="58" customFormat="1" ht="30" spans="1:42">
      <c r="A241" s="27">
        <v>26</v>
      </c>
      <c r="B241" s="27" t="s">
        <v>21</v>
      </c>
      <c r="C241" s="27" t="s">
        <v>22</v>
      </c>
      <c r="D241" s="29">
        <v>1</v>
      </c>
      <c r="E241" s="27" t="s">
        <v>53</v>
      </c>
      <c r="F241" s="28">
        <v>5.53</v>
      </c>
      <c r="G241" s="126" t="s">
        <v>372</v>
      </c>
      <c r="H241" s="203"/>
      <c r="I241" s="30">
        <v>46008</v>
      </c>
      <c r="J241" s="30"/>
      <c r="K241" s="200">
        <f t="shared" si="15"/>
        <v>46098</v>
      </c>
      <c r="L241" s="30">
        <v>46113</v>
      </c>
      <c r="M241" s="30">
        <v>46142</v>
      </c>
      <c r="N241" s="32">
        <v>30</v>
      </c>
      <c r="O241" s="201">
        <f t="shared" si="11"/>
        <v>165.9</v>
      </c>
      <c r="P241" s="40">
        <f t="shared" si="14"/>
        <v>30</v>
      </c>
      <c r="Q241" s="33">
        <f t="shared" si="12"/>
        <v>165.9</v>
      </c>
      <c r="R241" s="202"/>
      <c r="S241" s="34"/>
    </row>
    <row r="242" s="58" customFormat="1" ht="30" spans="1:42">
      <c r="A242" s="27">
        <v>26</v>
      </c>
      <c r="B242" s="27" t="s">
        <v>21</v>
      </c>
      <c r="C242" s="27" t="s">
        <v>22</v>
      </c>
      <c r="D242" s="29">
        <v>1</v>
      </c>
      <c r="E242" s="27" t="s">
        <v>53</v>
      </c>
      <c r="F242" s="28">
        <v>5.53</v>
      </c>
      <c r="G242" s="126" t="s">
        <v>373</v>
      </c>
      <c r="H242" s="203"/>
      <c r="I242" s="30">
        <v>46008</v>
      </c>
      <c r="J242" s="30"/>
      <c r="K242" s="200">
        <f t="shared" si="15"/>
        <v>46098</v>
      </c>
      <c r="L242" s="30">
        <v>46113</v>
      </c>
      <c r="M242" s="30">
        <v>46142</v>
      </c>
      <c r="N242" s="32">
        <v>30</v>
      </c>
      <c r="O242" s="201">
        <f t="shared" si="11"/>
        <v>165.9</v>
      </c>
      <c r="P242" s="40">
        <f t="shared" si="14"/>
        <v>30</v>
      </c>
      <c r="Q242" s="33">
        <f t="shared" si="12"/>
        <v>165.9</v>
      </c>
      <c r="R242" s="202"/>
      <c r="S242" s="34"/>
    </row>
    <row r="243" s="58" customFormat="1" ht="30" spans="1:42">
      <c r="A243" s="27">
        <v>26</v>
      </c>
      <c r="B243" s="27" t="s">
        <v>21</v>
      </c>
      <c r="C243" s="27" t="s">
        <v>22</v>
      </c>
      <c r="D243" s="29">
        <v>1</v>
      </c>
      <c r="E243" s="27" t="s">
        <v>53</v>
      </c>
      <c r="F243" s="28">
        <v>5.53</v>
      </c>
      <c r="G243" s="126" t="s">
        <v>374</v>
      </c>
      <c r="H243" s="203"/>
      <c r="I243" s="30">
        <v>46010</v>
      </c>
      <c r="J243" s="30"/>
      <c r="K243" s="200">
        <f t="shared" si="15"/>
        <v>46100</v>
      </c>
      <c r="L243" s="30">
        <v>46113</v>
      </c>
      <c r="M243" s="30">
        <v>46142</v>
      </c>
      <c r="N243" s="32">
        <v>30</v>
      </c>
      <c r="O243" s="201">
        <f t="shared" si="11"/>
        <v>165.9</v>
      </c>
      <c r="P243" s="40">
        <f t="shared" si="14"/>
        <v>30</v>
      </c>
      <c r="Q243" s="33">
        <f t="shared" si="12"/>
        <v>165.9</v>
      </c>
      <c r="R243" s="202"/>
      <c r="S243" s="34"/>
    </row>
    <row r="244" s="58" customFormat="1" ht="30" spans="1:42">
      <c r="A244" s="27">
        <v>26</v>
      </c>
      <c r="B244" s="27" t="s">
        <v>21</v>
      </c>
      <c r="C244" s="27" t="s">
        <v>22</v>
      </c>
      <c r="D244" s="29">
        <v>1</v>
      </c>
      <c r="E244" s="27" t="s">
        <v>53</v>
      </c>
      <c r="F244" s="28">
        <v>5.53</v>
      </c>
      <c r="G244" s="126" t="s">
        <v>375</v>
      </c>
      <c r="H244" s="203"/>
      <c r="I244" s="30">
        <v>46030</v>
      </c>
      <c r="J244" s="30"/>
      <c r="K244" s="200">
        <f t="shared" si="15"/>
        <v>46120</v>
      </c>
      <c r="L244" s="200">
        <v>46120</v>
      </c>
      <c r="M244" s="30">
        <v>46142</v>
      </c>
      <c r="N244" s="32">
        <v>30</v>
      </c>
      <c r="O244" s="201">
        <f t="shared" si="11"/>
        <v>165.9</v>
      </c>
      <c r="P244" s="40">
        <f t="shared" si="14"/>
        <v>23</v>
      </c>
      <c r="Q244" s="33">
        <f t="shared" si="12"/>
        <v>127.19</v>
      </c>
      <c r="R244" s="202"/>
      <c r="S244" s="34"/>
    </row>
    <row r="245" s="58" customFormat="1" ht="30" spans="1:42">
      <c r="A245" s="27">
        <v>26</v>
      </c>
      <c r="B245" s="27" t="s">
        <v>21</v>
      </c>
      <c r="C245" s="27" t="s">
        <v>22</v>
      </c>
      <c r="D245" s="29">
        <v>1</v>
      </c>
      <c r="E245" s="27" t="s">
        <v>53</v>
      </c>
      <c r="F245" s="28">
        <v>5.53</v>
      </c>
      <c r="G245" s="126" t="s">
        <v>376</v>
      </c>
      <c r="H245" s="203"/>
      <c r="I245" s="30">
        <v>46030</v>
      </c>
      <c r="J245" s="30"/>
      <c r="K245" s="200">
        <f t="shared" si="15"/>
        <v>46120</v>
      </c>
      <c r="L245" s="200">
        <v>46120</v>
      </c>
      <c r="M245" s="30">
        <v>46142</v>
      </c>
      <c r="N245" s="32">
        <v>30</v>
      </c>
      <c r="O245" s="201">
        <f t="shared" si="11"/>
        <v>165.9</v>
      </c>
      <c r="P245" s="40">
        <f t="shared" si="14"/>
        <v>23</v>
      </c>
      <c r="Q245" s="33">
        <f t="shared" si="12"/>
        <v>127.19</v>
      </c>
      <c r="R245" s="202"/>
      <c r="S245" s="34"/>
    </row>
    <row r="246" s="58" customFormat="1" ht="30" spans="1:42">
      <c r="A246" s="27">
        <v>26</v>
      </c>
      <c r="B246" s="27" t="s">
        <v>21</v>
      </c>
      <c r="C246" s="27" t="s">
        <v>22</v>
      </c>
      <c r="D246" s="29">
        <v>1</v>
      </c>
      <c r="E246" s="27" t="s">
        <v>53</v>
      </c>
      <c r="F246" s="28">
        <v>5.53</v>
      </c>
      <c r="G246" s="126" t="s">
        <v>377</v>
      </c>
      <c r="H246" s="203"/>
      <c r="I246" s="30">
        <v>46030</v>
      </c>
      <c r="J246" s="30"/>
      <c r="K246" s="200">
        <f t="shared" si="15"/>
        <v>46120</v>
      </c>
      <c r="L246" s="200">
        <v>46120</v>
      </c>
      <c r="M246" s="30">
        <v>46142</v>
      </c>
      <c r="N246" s="32">
        <v>30</v>
      </c>
      <c r="O246" s="201">
        <f t="shared" si="11"/>
        <v>165.9</v>
      </c>
      <c r="P246" s="40">
        <f t="shared" si="14"/>
        <v>23</v>
      </c>
      <c r="Q246" s="33">
        <f t="shared" si="12"/>
        <v>127.19</v>
      </c>
      <c r="R246" s="202"/>
      <c r="S246" s="34"/>
    </row>
    <row r="247" s="58" customFormat="1" ht="30" spans="1:42">
      <c r="A247" s="27">
        <v>26</v>
      </c>
      <c r="B247" s="27" t="s">
        <v>21</v>
      </c>
      <c r="C247" s="27" t="s">
        <v>22</v>
      </c>
      <c r="D247" s="29">
        <v>1</v>
      </c>
      <c r="E247" s="27" t="s">
        <v>53</v>
      </c>
      <c r="F247" s="28">
        <v>5.53</v>
      </c>
      <c r="G247" s="126" t="s">
        <v>378</v>
      </c>
      <c r="H247" s="203"/>
      <c r="I247" s="30">
        <v>46030</v>
      </c>
      <c r="J247" s="30"/>
      <c r="K247" s="200">
        <f t="shared" si="15"/>
        <v>46120</v>
      </c>
      <c r="L247" s="200">
        <v>46120</v>
      </c>
      <c r="M247" s="30">
        <v>46142</v>
      </c>
      <c r="N247" s="32">
        <v>30</v>
      </c>
      <c r="O247" s="201">
        <f t="shared" si="11"/>
        <v>165.9</v>
      </c>
      <c r="P247" s="40">
        <f t="shared" si="14"/>
        <v>23</v>
      </c>
      <c r="Q247" s="33">
        <f t="shared" si="12"/>
        <v>127.19</v>
      </c>
      <c r="R247" s="202"/>
      <c r="S247" s="34"/>
    </row>
    <row r="248" ht="30" spans="1:42">
      <c r="A248" s="27">
        <v>26</v>
      </c>
      <c r="B248" s="27" t="s">
        <v>21</v>
      </c>
      <c r="C248" s="27" t="s">
        <v>22</v>
      </c>
      <c r="D248" s="29">
        <v>1</v>
      </c>
      <c r="E248" s="27" t="s">
        <v>53</v>
      </c>
      <c r="F248" s="28">
        <v>5.53</v>
      </c>
      <c r="G248" s="37" t="s">
        <v>405</v>
      </c>
      <c r="H248" s="32"/>
      <c r="I248" s="30">
        <v>46058</v>
      </c>
      <c r="J248" s="30"/>
      <c r="K248" s="200">
        <f t="shared" si="15"/>
        <v>46148</v>
      </c>
      <c r="L248" s="30">
        <v>46113</v>
      </c>
      <c r="M248" s="30">
        <v>46142</v>
      </c>
      <c r="N248" s="32">
        <v>30</v>
      </c>
      <c r="O248" s="201">
        <f t="shared" si="11"/>
        <v>165.9</v>
      </c>
      <c r="P248" s="40">
        <v>0</v>
      </c>
      <c r="Q248" s="33">
        <f t="shared" si="12"/>
        <v>0</v>
      </c>
      <c r="R248" s="147"/>
      <c r="S248" s="37" t="s">
        <v>516</v>
      </c>
    </row>
    <row r="249" ht="30" spans="1:42">
      <c r="A249" s="27">
        <v>26</v>
      </c>
      <c r="B249" s="27" t="s">
        <v>21</v>
      </c>
      <c r="C249" s="27" t="s">
        <v>22</v>
      </c>
      <c r="D249" s="29">
        <v>1</v>
      </c>
      <c r="E249" s="27" t="s">
        <v>53</v>
      </c>
      <c r="F249" s="28">
        <v>5.53</v>
      </c>
      <c r="G249" s="37" t="s">
        <v>406</v>
      </c>
      <c r="H249" s="32"/>
      <c r="I249" s="30">
        <v>46058</v>
      </c>
      <c r="J249" s="30"/>
      <c r="K249" s="200">
        <f t="shared" si="15"/>
        <v>46148</v>
      </c>
      <c r="L249" s="30">
        <v>46113</v>
      </c>
      <c r="M249" s="30">
        <v>46142</v>
      </c>
      <c r="N249" s="32">
        <v>30</v>
      </c>
      <c r="O249" s="201">
        <f t="shared" si="11"/>
        <v>165.9</v>
      </c>
      <c r="P249" s="40">
        <v>0</v>
      </c>
      <c r="Q249" s="33">
        <f t="shared" si="12"/>
        <v>0</v>
      </c>
      <c r="R249" s="147"/>
      <c r="S249" s="37"/>
    </row>
    <row r="250" ht="30" spans="1:42">
      <c r="A250" s="27">
        <v>26</v>
      </c>
      <c r="B250" s="27" t="s">
        <v>21</v>
      </c>
      <c r="C250" s="27" t="s">
        <v>22</v>
      </c>
      <c r="D250" s="29">
        <v>1</v>
      </c>
      <c r="E250" s="27" t="s">
        <v>53</v>
      </c>
      <c r="F250" s="28">
        <v>5.53</v>
      </c>
      <c r="G250" s="37" t="s">
        <v>407</v>
      </c>
      <c r="H250" s="32"/>
      <c r="I250" s="30">
        <v>46058</v>
      </c>
      <c r="J250" s="30"/>
      <c r="K250" s="200">
        <f t="shared" si="15"/>
        <v>46148</v>
      </c>
      <c r="L250" s="30">
        <v>46113</v>
      </c>
      <c r="M250" s="30">
        <v>46142</v>
      </c>
      <c r="N250" s="32">
        <v>30</v>
      </c>
      <c r="O250" s="201">
        <f t="shared" si="11"/>
        <v>165.9</v>
      </c>
      <c r="P250" s="40">
        <v>0</v>
      </c>
      <c r="Q250" s="33">
        <f t="shared" si="12"/>
        <v>0</v>
      </c>
      <c r="R250" s="147"/>
      <c r="S250" s="37"/>
    </row>
    <row r="251" ht="30" spans="1:42">
      <c r="A251" s="27">
        <v>26</v>
      </c>
      <c r="B251" s="27" t="s">
        <v>21</v>
      </c>
      <c r="C251" s="27" t="s">
        <v>22</v>
      </c>
      <c r="D251" s="29">
        <v>1</v>
      </c>
      <c r="E251" s="27" t="s">
        <v>53</v>
      </c>
      <c r="F251" s="28">
        <v>5.53</v>
      </c>
      <c r="G251" s="37" t="s">
        <v>408</v>
      </c>
      <c r="H251" s="32"/>
      <c r="I251" s="30">
        <v>46058</v>
      </c>
      <c r="J251" s="30"/>
      <c r="K251" s="200">
        <f t="shared" si="15"/>
        <v>46148</v>
      </c>
      <c r="L251" s="30">
        <v>46113</v>
      </c>
      <c r="M251" s="30">
        <v>46142</v>
      </c>
      <c r="N251" s="32">
        <v>30</v>
      </c>
      <c r="O251" s="201">
        <f t="shared" si="11"/>
        <v>165.9</v>
      </c>
      <c r="P251" s="40">
        <v>0</v>
      </c>
      <c r="Q251" s="33">
        <f t="shared" si="12"/>
        <v>0</v>
      </c>
      <c r="R251" s="147"/>
      <c r="S251" s="37"/>
    </row>
    <row r="252" ht="30" spans="1:42">
      <c r="A252" s="27">
        <v>26</v>
      </c>
      <c r="B252" s="27" t="s">
        <v>21</v>
      </c>
      <c r="C252" s="27" t="s">
        <v>22</v>
      </c>
      <c r="D252" s="29">
        <v>1</v>
      </c>
      <c r="E252" s="27" t="s">
        <v>53</v>
      </c>
      <c r="F252" s="28">
        <v>5.53</v>
      </c>
      <c r="G252" s="37" t="s">
        <v>409</v>
      </c>
      <c r="H252" s="32"/>
      <c r="I252" s="30">
        <v>46058</v>
      </c>
      <c r="J252" s="30"/>
      <c r="K252" s="200">
        <f t="shared" si="15"/>
        <v>46148</v>
      </c>
      <c r="L252" s="30">
        <v>46113</v>
      </c>
      <c r="M252" s="30">
        <v>46142</v>
      </c>
      <c r="N252" s="32">
        <v>30</v>
      </c>
      <c r="O252" s="201">
        <f t="shared" si="11"/>
        <v>165.9</v>
      </c>
      <c r="P252" s="40">
        <v>0</v>
      </c>
      <c r="Q252" s="33">
        <f t="shared" si="12"/>
        <v>0</v>
      </c>
      <c r="R252" s="147"/>
      <c r="S252" s="37"/>
    </row>
    <row r="253" ht="30" spans="1:42">
      <c r="A253" s="27">
        <v>26</v>
      </c>
      <c r="B253" s="27" t="s">
        <v>21</v>
      </c>
      <c r="C253" s="27" t="s">
        <v>22</v>
      </c>
      <c r="D253" s="29">
        <v>1</v>
      </c>
      <c r="E253" s="27" t="s">
        <v>53</v>
      </c>
      <c r="F253" s="28">
        <v>5.53</v>
      </c>
      <c r="G253" s="37" t="s">
        <v>410</v>
      </c>
      <c r="H253" s="32"/>
      <c r="I253" s="30">
        <v>46058</v>
      </c>
      <c r="J253" s="30"/>
      <c r="K253" s="200">
        <f t="shared" si="15"/>
        <v>46148</v>
      </c>
      <c r="L253" s="30">
        <v>46113</v>
      </c>
      <c r="M253" s="30">
        <v>46142</v>
      </c>
      <c r="N253" s="32">
        <v>30</v>
      </c>
      <c r="O253" s="201">
        <f t="shared" si="11"/>
        <v>165.9</v>
      </c>
      <c r="P253" s="40">
        <v>0</v>
      </c>
      <c r="Q253" s="33">
        <f t="shared" si="12"/>
        <v>0</v>
      </c>
      <c r="R253" s="147"/>
      <c r="S253" s="37"/>
    </row>
    <row r="254" s="164" customFormat="1" ht="30" spans="1:42">
      <c r="A254" s="72">
        <v>26</v>
      </c>
      <c r="B254" s="72" t="s">
        <v>21</v>
      </c>
      <c r="C254" s="72" t="s">
        <v>22</v>
      </c>
      <c r="D254" s="73">
        <v>1</v>
      </c>
      <c r="E254" s="72" t="s">
        <v>53</v>
      </c>
      <c r="F254" s="74">
        <v>5.53</v>
      </c>
      <c r="G254" s="75" t="s">
        <v>411</v>
      </c>
      <c r="H254" s="192"/>
      <c r="I254" s="66">
        <v>46058</v>
      </c>
      <c r="J254" s="204">
        <v>46134</v>
      </c>
      <c r="K254" s="205">
        <f t="shared" si="15"/>
        <v>46148</v>
      </c>
      <c r="L254" s="66">
        <v>46113</v>
      </c>
      <c r="M254" s="66">
        <v>46133</v>
      </c>
      <c r="N254" s="32">
        <v>21</v>
      </c>
      <c r="O254" s="201">
        <f t="shared" si="11"/>
        <v>116.13</v>
      </c>
      <c r="P254" s="78">
        <v>0</v>
      </c>
      <c r="Q254" s="79">
        <f t="shared" si="12"/>
        <v>0</v>
      </c>
      <c r="R254" s="206"/>
      <c r="S254" s="75" t="s">
        <v>517</v>
      </c>
      <c r="T254" s="80"/>
      <c r="U254" s="80"/>
      <c r="V254" s="80"/>
      <c r="W254" s="80"/>
      <c r="X254" s="80"/>
      <c r="Y254" s="80"/>
      <c r="Z254" s="80"/>
      <c r="AA254" s="80"/>
      <c r="AB254" s="80"/>
      <c r="AC254" s="80"/>
      <c r="AD254" s="80"/>
      <c r="AE254" s="80"/>
      <c r="AF254" s="80"/>
      <c r="AG254" s="80"/>
      <c r="AH254" s="80"/>
      <c r="AI254" s="80"/>
      <c r="AJ254" s="80"/>
      <c r="AK254" s="80"/>
      <c r="AL254" s="80"/>
      <c r="AM254" s="80"/>
      <c r="AN254" s="80"/>
      <c r="AO254" s="80"/>
      <c r="AP254" s="80"/>
    </row>
    <row r="255" s="164" customFormat="1" ht="30" spans="1:42">
      <c r="A255" s="72">
        <v>26</v>
      </c>
      <c r="B255" s="72" t="s">
        <v>21</v>
      </c>
      <c r="C255" s="72" t="s">
        <v>22</v>
      </c>
      <c r="D255" s="73">
        <v>1</v>
      </c>
      <c r="E255" s="72" t="s">
        <v>53</v>
      </c>
      <c r="F255" s="74">
        <v>5.53</v>
      </c>
      <c r="G255" s="75" t="s">
        <v>412</v>
      </c>
      <c r="H255" s="192"/>
      <c r="I255" s="66">
        <v>46058</v>
      </c>
      <c r="J255" s="204">
        <v>46134</v>
      </c>
      <c r="K255" s="205">
        <f t="shared" si="15"/>
        <v>46148</v>
      </c>
      <c r="L255" s="66">
        <v>46113</v>
      </c>
      <c r="M255" s="66">
        <v>46133</v>
      </c>
      <c r="N255" s="32">
        <v>21</v>
      </c>
      <c r="O255" s="201">
        <f t="shared" si="11"/>
        <v>116.13</v>
      </c>
      <c r="P255" s="78">
        <v>0</v>
      </c>
      <c r="Q255" s="79">
        <f t="shared" si="12"/>
        <v>0</v>
      </c>
      <c r="R255" s="206"/>
      <c r="S255" s="75"/>
      <c r="T255" s="80"/>
      <c r="U255" s="80"/>
      <c r="V255" s="80"/>
      <c r="W255" s="80"/>
      <c r="X255" s="80"/>
      <c r="Y255" s="80"/>
      <c r="Z255" s="80"/>
      <c r="AA255" s="80"/>
      <c r="AB255" s="80"/>
      <c r="AC255" s="80"/>
      <c r="AD255" s="80"/>
      <c r="AE255" s="80"/>
      <c r="AF255" s="80"/>
      <c r="AG255" s="80"/>
      <c r="AH255" s="80"/>
      <c r="AI255" s="80"/>
      <c r="AJ255" s="80"/>
      <c r="AK255" s="80"/>
      <c r="AL255" s="80"/>
      <c r="AM255" s="80"/>
      <c r="AN255" s="80"/>
      <c r="AO255" s="80"/>
      <c r="AP255" s="80"/>
    </row>
    <row r="256" s="164" customFormat="1" ht="30" spans="1:42">
      <c r="A256" s="72">
        <v>26</v>
      </c>
      <c r="B256" s="72" t="s">
        <v>21</v>
      </c>
      <c r="C256" s="72" t="s">
        <v>22</v>
      </c>
      <c r="D256" s="73">
        <v>1</v>
      </c>
      <c r="E256" s="72" t="s">
        <v>53</v>
      </c>
      <c r="F256" s="74">
        <v>5.53</v>
      </c>
      <c r="G256" s="75" t="s">
        <v>413</v>
      </c>
      <c r="H256" s="192"/>
      <c r="I256" s="66">
        <v>46058</v>
      </c>
      <c r="J256" s="204">
        <v>46134</v>
      </c>
      <c r="K256" s="205">
        <f t="shared" si="15"/>
        <v>46148</v>
      </c>
      <c r="L256" s="66">
        <v>46113</v>
      </c>
      <c r="M256" s="66">
        <v>46133</v>
      </c>
      <c r="N256" s="32">
        <v>21</v>
      </c>
      <c r="O256" s="201">
        <f t="shared" si="11"/>
        <v>116.13</v>
      </c>
      <c r="P256" s="78">
        <v>0</v>
      </c>
      <c r="Q256" s="79">
        <f t="shared" si="12"/>
        <v>0</v>
      </c>
      <c r="R256" s="206"/>
      <c r="S256" s="75"/>
      <c r="T256" s="80"/>
      <c r="U256" s="80"/>
      <c r="V256" s="80"/>
      <c r="W256" s="80"/>
      <c r="X256" s="80"/>
      <c r="Y256" s="80"/>
      <c r="Z256" s="80"/>
      <c r="AA256" s="80"/>
      <c r="AB256" s="80"/>
      <c r="AC256" s="80"/>
      <c r="AD256" s="80"/>
      <c r="AE256" s="80"/>
      <c r="AF256" s="80"/>
      <c r="AG256" s="80"/>
      <c r="AH256" s="80"/>
      <c r="AI256" s="80"/>
      <c r="AJ256" s="80"/>
      <c r="AK256" s="80"/>
      <c r="AL256" s="80"/>
      <c r="AM256" s="80"/>
      <c r="AN256" s="80"/>
      <c r="AO256" s="80"/>
      <c r="AP256" s="80"/>
    </row>
    <row r="257" s="164" customFormat="1" ht="30" spans="1:42">
      <c r="A257" s="72">
        <v>26</v>
      </c>
      <c r="B257" s="72" t="s">
        <v>21</v>
      </c>
      <c r="C257" s="72" t="s">
        <v>22</v>
      </c>
      <c r="D257" s="73">
        <v>1</v>
      </c>
      <c r="E257" s="72" t="s">
        <v>53</v>
      </c>
      <c r="F257" s="74">
        <v>5.53</v>
      </c>
      <c r="G257" s="75" t="s">
        <v>414</v>
      </c>
      <c r="H257" s="192"/>
      <c r="I257" s="66">
        <v>46058</v>
      </c>
      <c r="J257" s="204">
        <v>46134</v>
      </c>
      <c r="K257" s="205">
        <f t="shared" si="15"/>
        <v>46148</v>
      </c>
      <c r="L257" s="66">
        <v>46113</v>
      </c>
      <c r="M257" s="66">
        <v>46133</v>
      </c>
      <c r="N257" s="32">
        <v>21</v>
      </c>
      <c r="O257" s="201">
        <f t="shared" si="11"/>
        <v>116.13</v>
      </c>
      <c r="P257" s="78">
        <v>0</v>
      </c>
      <c r="Q257" s="79">
        <f t="shared" si="12"/>
        <v>0</v>
      </c>
      <c r="R257" s="206"/>
      <c r="S257" s="75"/>
      <c r="T257" s="80"/>
      <c r="U257" s="80"/>
      <c r="V257" s="80"/>
      <c r="W257" s="80"/>
      <c r="X257" s="80"/>
      <c r="Y257" s="80"/>
      <c r="Z257" s="80"/>
      <c r="AA257" s="80"/>
      <c r="AB257" s="80"/>
      <c r="AC257" s="80"/>
      <c r="AD257" s="80"/>
      <c r="AE257" s="80"/>
      <c r="AF257" s="80"/>
      <c r="AG257" s="80"/>
      <c r="AH257" s="80"/>
      <c r="AI257" s="80"/>
      <c r="AJ257" s="80"/>
      <c r="AK257" s="80"/>
      <c r="AL257" s="80"/>
      <c r="AM257" s="80"/>
      <c r="AN257" s="80"/>
      <c r="AO257" s="80"/>
      <c r="AP257" s="80"/>
    </row>
    <row r="258" s="164" customFormat="1" ht="30" spans="1:42">
      <c r="A258" s="72">
        <v>26</v>
      </c>
      <c r="B258" s="72" t="s">
        <v>21</v>
      </c>
      <c r="C258" s="72" t="s">
        <v>22</v>
      </c>
      <c r="D258" s="73">
        <v>1</v>
      </c>
      <c r="E258" s="72" t="s">
        <v>53</v>
      </c>
      <c r="F258" s="74">
        <v>5.53</v>
      </c>
      <c r="G258" s="75" t="s">
        <v>415</v>
      </c>
      <c r="H258" s="192"/>
      <c r="I258" s="66">
        <v>46058</v>
      </c>
      <c r="J258" s="204">
        <v>46134</v>
      </c>
      <c r="K258" s="205">
        <f t="shared" si="15"/>
        <v>46148</v>
      </c>
      <c r="L258" s="66">
        <v>46113</v>
      </c>
      <c r="M258" s="66">
        <v>46133</v>
      </c>
      <c r="N258" s="32">
        <v>21</v>
      </c>
      <c r="O258" s="201">
        <f t="shared" si="11"/>
        <v>116.13</v>
      </c>
      <c r="P258" s="78">
        <v>0</v>
      </c>
      <c r="Q258" s="79">
        <f t="shared" si="12"/>
        <v>0</v>
      </c>
      <c r="R258" s="206"/>
      <c r="S258" s="75" t="s">
        <v>518</v>
      </c>
      <c r="T258" s="80"/>
      <c r="U258" s="80"/>
      <c r="V258" s="80"/>
      <c r="W258" s="80"/>
      <c r="X258" s="80"/>
      <c r="Y258" s="80"/>
      <c r="Z258" s="80"/>
      <c r="AA258" s="80"/>
      <c r="AB258" s="80"/>
      <c r="AC258" s="80"/>
      <c r="AD258" s="80"/>
      <c r="AE258" s="80"/>
      <c r="AF258" s="80"/>
      <c r="AG258" s="80"/>
      <c r="AH258" s="80"/>
      <c r="AI258" s="80"/>
      <c r="AJ258" s="80"/>
      <c r="AK258" s="80"/>
      <c r="AL258" s="80"/>
      <c r="AM258" s="80"/>
      <c r="AN258" s="80"/>
      <c r="AO258" s="80"/>
      <c r="AP258" s="80"/>
    </row>
    <row r="259" s="164" customFormat="1" ht="30" spans="1:42">
      <c r="A259" s="72">
        <v>26</v>
      </c>
      <c r="B259" s="72" t="s">
        <v>21</v>
      </c>
      <c r="C259" s="72" t="s">
        <v>22</v>
      </c>
      <c r="D259" s="73">
        <v>1</v>
      </c>
      <c r="E259" s="72" t="s">
        <v>53</v>
      </c>
      <c r="F259" s="74">
        <v>5.53</v>
      </c>
      <c r="G259" s="75" t="s">
        <v>416</v>
      </c>
      <c r="H259" s="192"/>
      <c r="I259" s="66">
        <v>46058</v>
      </c>
      <c r="J259" s="204">
        <v>46134</v>
      </c>
      <c r="K259" s="205">
        <f t="shared" si="15"/>
        <v>46148</v>
      </c>
      <c r="L259" s="66">
        <v>46113</v>
      </c>
      <c r="M259" s="66">
        <v>46133</v>
      </c>
      <c r="N259" s="32">
        <v>21</v>
      </c>
      <c r="O259" s="201">
        <f t="shared" si="11"/>
        <v>116.13</v>
      </c>
      <c r="P259" s="78">
        <v>0</v>
      </c>
      <c r="Q259" s="79">
        <f t="shared" si="12"/>
        <v>0</v>
      </c>
      <c r="R259" s="206"/>
      <c r="S259" s="75"/>
      <c r="T259" s="80"/>
      <c r="U259" s="80"/>
      <c r="V259" s="80"/>
      <c r="W259" s="80"/>
      <c r="X259" s="80"/>
      <c r="Y259" s="80"/>
      <c r="Z259" s="80"/>
      <c r="AA259" s="80"/>
      <c r="AB259" s="80"/>
      <c r="AC259" s="80"/>
      <c r="AD259" s="80"/>
      <c r="AE259" s="80"/>
      <c r="AF259" s="80"/>
      <c r="AG259" s="80"/>
      <c r="AH259" s="80"/>
      <c r="AI259" s="80"/>
      <c r="AJ259" s="80"/>
      <c r="AK259" s="80"/>
      <c r="AL259" s="80"/>
      <c r="AM259" s="80"/>
      <c r="AN259" s="80"/>
      <c r="AO259" s="80"/>
      <c r="AP259" s="80"/>
    </row>
    <row r="260" s="164" customFormat="1" ht="30" spans="1:42">
      <c r="A260" s="72">
        <v>26</v>
      </c>
      <c r="B260" s="72" t="s">
        <v>21</v>
      </c>
      <c r="C260" s="72" t="s">
        <v>22</v>
      </c>
      <c r="D260" s="73">
        <v>1</v>
      </c>
      <c r="E260" s="72" t="s">
        <v>53</v>
      </c>
      <c r="F260" s="74">
        <v>5.53</v>
      </c>
      <c r="G260" s="75" t="s">
        <v>417</v>
      </c>
      <c r="H260" s="192"/>
      <c r="I260" s="66">
        <v>46058</v>
      </c>
      <c r="J260" s="204">
        <v>46134</v>
      </c>
      <c r="K260" s="205">
        <f t="shared" si="15"/>
        <v>46148</v>
      </c>
      <c r="L260" s="66">
        <v>46113</v>
      </c>
      <c r="M260" s="66">
        <v>46133</v>
      </c>
      <c r="N260" s="32">
        <v>21</v>
      </c>
      <c r="O260" s="201">
        <f t="shared" si="11"/>
        <v>116.13</v>
      </c>
      <c r="P260" s="78">
        <v>0</v>
      </c>
      <c r="Q260" s="79">
        <f t="shared" si="12"/>
        <v>0</v>
      </c>
      <c r="R260" s="206"/>
      <c r="S260" s="75"/>
      <c r="T260" s="80"/>
      <c r="U260" s="80"/>
      <c r="V260" s="80"/>
      <c r="W260" s="80"/>
      <c r="X260" s="80"/>
      <c r="Y260" s="80"/>
      <c r="Z260" s="80"/>
      <c r="AA260" s="80"/>
      <c r="AB260" s="80"/>
      <c r="AC260" s="80"/>
      <c r="AD260" s="80"/>
      <c r="AE260" s="80"/>
      <c r="AF260" s="80"/>
      <c r="AG260" s="80"/>
      <c r="AH260" s="80"/>
      <c r="AI260" s="80"/>
      <c r="AJ260" s="80"/>
      <c r="AK260" s="80"/>
      <c r="AL260" s="80"/>
      <c r="AM260" s="80"/>
      <c r="AN260" s="80"/>
      <c r="AO260" s="80"/>
      <c r="AP260" s="80"/>
    </row>
    <row r="261" s="164" customFormat="1" ht="30" spans="1:42">
      <c r="A261" s="72">
        <v>26</v>
      </c>
      <c r="B261" s="72" t="s">
        <v>21</v>
      </c>
      <c r="C261" s="72" t="s">
        <v>22</v>
      </c>
      <c r="D261" s="73">
        <v>1</v>
      </c>
      <c r="E261" s="72" t="s">
        <v>53</v>
      </c>
      <c r="F261" s="74">
        <v>5.53</v>
      </c>
      <c r="G261" s="75" t="s">
        <v>418</v>
      </c>
      <c r="H261" s="192"/>
      <c r="I261" s="66">
        <v>46058</v>
      </c>
      <c r="J261" s="204">
        <v>46134</v>
      </c>
      <c r="K261" s="205">
        <f t="shared" si="15"/>
        <v>46148</v>
      </c>
      <c r="L261" s="66">
        <v>46113</v>
      </c>
      <c r="M261" s="66">
        <v>46133</v>
      </c>
      <c r="N261" s="32">
        <v>21</v>
      </c>
      <c r="O261" s="201">
        <f t="shared" si="11"/>
        <v>116.13</v>
      </c>
      <c r="P261" s="78">
        <v>0</v>
      </c>
      <c r="Q261" s="79">
        <f t="shared" si="12"/>
        <v>0</v>
      </c>
      <c r="R261" s="206"/>
      <c r="S261" s="75"/>
      <c r="T261" s="80"/>
      <c r="U261" s="80"/>
      <c r="V261" s="80"/>
      <c r="W261" s="80"/>
      <c r="X261" s="80"/>
      <c r="Y261" s="80"/>
      <c r="Z261" s="80"/>
      <c r="AA261" s="80"/>
      <c r="AB261" s="80"/>
      <c r="AC261" s="80"/>
      <c r="AD261" s="80"/>
      <c r="AE261" s="80"/>
      <c r="AF261" s="80"/>
      <c r="AG261" s="80"/>
      <c r="AH261" s="80"/>
      <c r="AI261" s="80"/>
      <c r="AJ261" s="80"/>
      <c r="AK261" s="80"/>
      <c r="AL261" s="80"/>
      <c r="AM261" s="80"/>
      <c r="AN261" s="80"/>
      <c r="AO261" s="80"/>
      <c r="AP261" s="80"/>
    </row>
    <row r="262" ht="30" spans="1:42">
      <c r="A262" s="27">
        <v>26</v>
      </c>
      <c r="B262" s="27" t="s">
        <v>21</v>
      </c>
      <c r="C262" s="27" t="s">
        <v>22</v>
      </c>
      <c r="D262" s="29">
        <v>1</v>
      </c>
      <c r="E262" s="27" t="s">
        <v>53</v>
      </c>
      <c r="F262" s="28">
        <v>5.53</v>
      </c>
      <c r="G262" s="37" t="s">
        <v>419</v>
      </c>
      <c r="H262" s="32"/>
      <c r="I262" s="30">
        <v>46058</v>
      </c>
      <c r="J262" s="30"/>
      <c r="K262" s="200">
        <f t="shared" si="15"/>
        <v>46148</v>
      </c>
      <c r="L262" s="30">
        <v>46113</v>
      </c>
      <c r="M262" s="30">
        <v>46142</v>
      </c>
      <c r="N262" s="32">
        <v>30</v>
      </c>
      <c r="O262" s="201">
        <f t="shared" ref="O262:O305" si="16">N262*F262*D262</f>
        <v>165.9</v>
      </c>
      <c r="P262" s="40">
        <v>0</v>
      </c>
      <c r="Q262" s="33">
        <f t="shared" si="12"/>
        <v>0</v>
      </c>
      <c r="R262" s="147"/>
      <c r="S262" s="37" t="s">
        <v>519</v>
      </c>
    </row>
    <row r="263" ht="30" spans="1:42">
      <c r="A263" s="27">
        <v>26</v>
      </c>
      <c r="B263" s="27" t="s">
        <v>21</v>
      </c>
      <c r="C263" s="27" t="s">
        <v>22</v>
      </c>
      <c r="D263" s="29">
        <v>1</v>
      </c>
      <c r="E263" s="27" t="s">
        <v>53</v>
      </c>
      <c r="F263" s="28">
        <v>5.53</v>
      </c>
      <c r="G263" s="37" t="s">
        <v>420</v>
      </c>
      <c r="H263" s="32"/>
      <c r="I263" s="30">
        <v>46058</v>
      </c>
      <c r="J263" s="30"/>
      <c r="K263" s="200">
        <f t="shared" si="15"/>
        <v>46148</v>
      </c>
      <c r="L263" s="30">
        <v>46113</v>
      </c>
      <c r="M263" s="30">
        <v>46142</v>
      </c>
      <c r="N263" s="32">
        <v>30</v>
      </c>
      <c r="O263" s="201">
        <f t="shared" si="16"/>
        <v>165.9</v>
      </c>
      <c r="P263" s="40">
        <v>0</v>
      </c>
      <c r="Q263" s="33">
        <f t="shared" ref="Q263:Q305" si="17">D263*F263*P263</f>
        <v>0</v>
      </c>
      <c r="R263" s="147"/>
      <c r="S263" s="37" t="s">
        <v>520</v>
      </c>
    </row>
    <row r="264" ht="30" spans="1:42">
      <c r="A264" s="27">
        <v>26</v>
      </c>
      <c r="B264" s="27" t="s">
        <v>21</v>
      </c>
      <c r="C264" s="27" t="s">
        <v>22</v>
      </c>
      <c r="D264" s="29">
        <v>1</v>
      </c>
      <c r="E264" s="27" t="s">
        <v>53</v>
      </c>
      <c r="F264" s="28">
        <v>5.53</v>
      </c>
      <c r="G264" s="37" t="s">
        <v>421</v>
      </c>
      <c r="H264" s="32"/>
      <c r="I264" s="30">
        <v>46058</v>
      </c>
      <c r="J264" s="30"/>
      <c r="K264" s="200">
        <f t="shared" ref="K264:K305" si="18">I264+90</f>
        <v>46148</v>
      </c>
      <c r="L264" s="30">
        <v>46113</v>
      </c>
      <c r="M264" s="30">
        <v>46142</v>
      </c>
      <c r="N264" s="32">
        <v>30</v>
      </c>
      <c r="O264" s="201">
        <f t="shared" si="16"/>
        <v>165.9</v>
      </c>
      <c r="P264" s="40">
        <v>0</v>
      </c>
      <c r="Q264" s="33">
        <f t="shared" si="17"/>
        <v>0</v>
      </c>
      <c r="R264" s="147"/>
      <c r="S264" s="37"/>
    </row>
    <row r="265" s="166" customFormat="1" ht="30" spans="1:42">
      <c r="A265" s="72">
        <v>26</v>
      </c>
      <c r="B265" s="72" t="s">
        <v>21</v>
      </c>
      <c r="C265" s="72" t="s">
        <v>22</v>
      </c>
      <c r="D265" s="73">
        <v>1</v>
      </c>
      <c r="E265" s="72" t="s">
        <v>53</v>
      </c>
      <c r="F265" s="74">
        <v>5.53</v>
      </c>
      <c r="G265" s="75" t="s">
        <v>422</v>
      </c>
      <c r="H265" s="207"/>
      <c r="I265" s="66">
        <v>46058</v>
      </c>
      <c r="J265" s="204">
        <v>46134</v>
      </c>
      <c r="K265" s="205">
        <f t="shared" si="18"/>
        <v>46148</v>
      </c>
      <c r="L265" s="66">
        <v>46113</v>
      </c>
      <c r="M265" s="66">
        <v>46133</v>
      </c>
      <c r="N265" s="32">
        <v>21</v>
      </c>
      <c r="O265" s="201">
        <f t="shared" si="16"/>
        <v>116.13</v>
      </c>
      <c r="P265" s="78">
        <v>0</v>
      </c>
      <c r="Q265" s="79">
        <f t="shared" si="17"/>
        <v>0</v>
      </c>
      <c r="R265" s="206"/>
      <c r="S265" s="75" t="s">
        <v>521</v>
      </c>
      <c r="T265" s="80"/>
      <c r="U265" s="80"/>
      <c r="V265" s="80"/>
      <c r="W265" s="80"/>
      <c r="X265" s="80"/>
      <c r="Y265" s="80"/>
      <c r="Z265" s="80"/>
      <c r="AA265" s="80"/>
      <c r="AB265" s="80"/>
      <c r="AC265" s="80"/>
      <c r="AD265" s="80"/>
      <c r="AE265" s="80"/>
      <c r="AF265" s="80"/>
      <c r="AG265" s="80"/>
      <c r="AH265" s="80"/>
      <c r="AI265" s="80"/>
      <c r="AJ265" s="80"/>
      <c r="AK265" s="80"/>
      <c r="AL265" s="80"/>
      <c r="AM265" s="80"/>
      <c r="AN265" s="80"/>
      <c r="AO265" s="80"/>
      <c r="AP265" s="80"/>
    </row>
    <row r="266" ht="30" spans="1:42">
      <c r="A266" s="27">
        <v>26</v>
      </c>
      <c r="B266" s="27" t="s">
        <v>21</v>
      </c>
      <c r="C266" s="27" t="s">
        <v>22</v>
      </c>
      <c r="D266" s="29">
        <v>1</v>
      </c>
      <c r="E266" s="27" t="s">
        <v>53</v>
      </c>
      <c r="F266" s="28">
        <v>5.53</v>
      </c>
      <c r="G266" s="37" t="s">
        <v>423</v>
      </c>
      <c r="H266" s="32"/>
      <c r="I266" s="30">
        <v>46058</v>
      </c>
      <c r="J266" s="30"/>
      <c r="K266" s="200">
        <f t="shared" si="18"/>
        <v>46148</v>
      </c>
      <c r="L266" s="30">
        <v>46113</v>
      </c>
      <c r="M266" s="30">
        <v>46142</v>
      </c>
      <c r="N266" s="32">
        <v>30</v>
      </c>
      <c r="O266" s="201">
        <f t="shared" si="16"/>
        <v>165.9</v>
      </c>
      <c r="P266" s="40">
        <v>0</v>
      </c>
      <c r="Q266" s="33">
        <f t="shared" si="17"/>
        <v>0</v>
      </c>
      <c r="R266" s="147"/>
      <c r="S266" s="37" t="s">
        <v>522</v>
      </c>
    </row>
    <row r="267" ht="30" spans="1:42">
      <c r="A267" s="27">
        <v>26</v>
      </c>
      <c r="B267" s="27" t="s">
        <v>21</v>
      </c>
      <c r="C267" s="27" t="s">
        <v>22</v>
      </c>
      <c r="D267" s="29">
        <v>1</v>
      </c>
      <c r="E267" s="27" t="s">
        <v>53</v>
      </c>
      <c r="F267" s="28">
        <v>5.53</v>
      </c>
      <c r="G267" s="37" t="s">
        <v>424</v>
      </c>
      <c r="H267" s="32"/>
      <c r="I267" s="30">
        <v>46058</v>
      </c>
      <c r="J267" s="30"/>
      <c r="K267" s="200">
        <f t="shared" si="18"/>
        <v>46148</v>
      </c>
      <c r="L267" s="30">
        <v>46113</v>
      </c>
      <c r="M267" s="30">
        <v>46142</v>
      </c>
      <c r="N267" s="32">
        <v>30</v>
      </c>
      <c r="O267" s="201">
        <f t="shared" si="16"/>
        <v>165.9</v>
      </c>
      <c r="P267" s="40">
        <v>0</v>
      </c>
      <c r="Q267" s="33">
        <f t="shared" si="17"/>
        <v>0</v>
      </c>
      <c r="R267" s="147"/>
      <c r="S267" s="37" t="s">
        <v>523</v>
      </c>
    </row>
    <row r="268" ht="30" spans="1:42">
      <c r="A268" s="27">
        <v>26</v>
      </c>
      <c r="B268" s="27" t="s">
        <v>21</v>
      </c>
      <c r="C268" s="27" t="s">
        <v>22</v>
      </c>
      <c r="D268" s="29">
        <v>1</v>
      </c>
      <c r="E268" s="27" t="s">
        <v>53</v>
      </c>
      <c r="F268" s="28">
        <v>5.53</v>
      </c>
      <c r="G268" s="37" t="s">
        <v>425</v>
      </c>
      <c r="H268" s="32"/>
      <c r="I268" s="30">
        <v>46058</v>
      </c>
      <c r="J268" s="30"/>
      <c r="K268" s="200">
        <f t="shared" si="18"/>
        <v>46148</v>
      </c>
      <c r="L268" s="30">
        <v>46113</v>
      </c>
      <c r="M268" s="30">
        <v>46142</v>
      </c>
      <c r="N268" s="32">
        <v>30</v>
      </c>
      <c r="O268" s="201">
        <f t="shared" si="16"/>
        <v>165.9</v>
      </c>
      <c r="P268" s="40">
        <v>0</v>
      </c>
      <c r="Q268" s="33">
        <f t="shared" si="17"/>
        <v>0</v>
      </c>
      <c r="R268" s="147"/>
      <c r="S268" s="37" t="s">
        <v>524</v>
      </c>
    </row>
    <row r="269" ht="30" spans="1:42">
      <c r="A269" s="27">
        <v>26</v>
      </c>
      <c r="B269" s="27" t="s">
        <v>21</v>
      </c>
      <c r="C269" s="27" t="s">
        <v>22</v>
      </c>
      <c r="D269" s="29">
        <v>1</v>
      </c>
      <c r="E269" s="27" t="s">
        <v>53</v>
      </c>
      <c r="F269" s="28">
        <v>5.53</v>
      </c>
      <c r="G269" s="37" t="s">
        <v>426</v>
      </c>
      <c r="H269" s="32"/>
      <c r="I269" s="30">
        <v>46058</v>
      </c>
      <c r="J269" s="30"/>
      <c r="K269" s="200">
        <f t="shared" si="18"/>
        <v>46148</v>
      </c>
      <c r="L269" s="30">
        <v>46113</v>
      </c>
      <c r="M269" s="30">
        <v>46142</v>
      </c>
      <c r="N269" s="32">
        <v>30</v>
      </c>
      <c r="O269" s="201">
        <f t="shared" si="16"/>
        <v>165.9</v>
      </c>
      <c r="P269" s="40">
        <v>0</v>
      </c>
      <c r="Q269" s="33">
        <f t="shared" si="17"/>
        <v>0</v>
      </c>
      <c r="R269" s="147"/>
      <c r="S269" s="37" t="s">
        <v>525</v>
      </c>
    </row>
    <row r="270" ht="30" spans="1:42">
      <c r="A270" s="27">
        <v>26</v>
      </c>
      <c r="B270" s="27" t="s">
        <v>21</v>
      </c>
      <c r="C270" s="27" t="s">
        <v>22</v>
      </c>
      <c r="D270" s="29">
        <v>1</v>
      </c>
      <c r="E270" s="27" t="s">
        <v>53</v>
      </c>
      <c r="F270" s="28">
        <v>5.53</v>
      </c>
      <c r="G270" s="37" t="s">
        <v>427</v>
      </c>
      <c r="H270" s="32"/>
      <c r="I270" s="30">
        <v>46058</v>
      </c>
      <c r="J270" s="30"/>
      <c r="K270" s="200">
        <f t="shared" si="18"/>
        <v>46148</v>
      </c>
      <c r="L270" s="30">
        <v>46113</v>
      </c>
      <c r="M270" s="30">
        <v>46142</v>
      </c>
      <c r="N270" s="32">
        <v>30</v>
      </c>
      <c r="O270" s="201">
        <f t="shared" si="16"/>
        <v>165.9</v>
      </c>
      <c r="P270" s="40">
        <v>0</v>
      </c>
      <c r="Q270" s="33">
        <f t="shared" si="17"/>
        <v>0</v>
      </c>
      <c r="R270" s="147"/>
      <c r="S270" s="37" t="s">
        <v>526</v>
      </c>
    </row>
    <row r="271" ht="30" spans="1:42">
      <c r="A271" s="27">
        <v>26</v>
      </c>
      <c r="B271" s="27" t="s">
        <v>21</v>
      </c>
      <c r="C271" s="27" t="s">
        <v>22</v>
      </c>
      <c r="D271" s="29">
        <v>1</v>
      </c>
      <c r="E271" s="27" t="s">
        <v>53</v>
      </c>
      <c r="F271" s="28">
        <v>5.53</v>
      </c>
      <c r="G271" s="37" t="s">
        <v>428</v>
      </c>
      <c r="H271" s="32"/>
      <c r="I271" s="30">
        <v>46058</v>
      </c>
      <c r="J271" s="30"/>
      <c r="K271" s="200">
        <f t="shared" si="18"/>
        <v>46148</v>
      </c>
      <c r="L271" s="30">
        <v>46113</v>
      </c>
      <c r="M271" s="30">
        <v>46142</v>
      </c>
      <c r="N271" s="32">
        <v>30</v>
      </c>
      <c r="O271" s="201">
        <f t="shared" si="16"/>
        <v>165.9</v>
      </c>
      <c r="P271" s="40">
        <v>0</v>
      </c>
      <c r="Q271" s="33">
        <f t="shared" si="17"/>
        <v>0</v>
      </c>
      <c r="R271" s="147"/>
      <c r="S271" s="37" t="s">
        <v>527</v>
      </c>
    </row>
    <row r="272" s="164" customFormat="1" ht="30" spans="1:42">
      <c r="A272" s="72">
        <v>26</v>
      </c>
      <c r="B272" s="72" t="s">
        <v>21</v>
      </c>
      <c r="C272" s="72" t="s">
        <v>22</v>
      </c>
      <c r="D272" s="73">
        <v>1</v>
      </c>
      <c r="E272" s="72" t="s">
        <v>53</v>
      </c>
      <c r="F272" s="74">
        <v>5.53</v>
      </c>
      <c r="G272" s="75" t="s">
        <v>379</v>
      </c>
      <c r="H272" s="192"/>
      <c r="I272" s="66">
        <v>46058</v>
      </c>
      <c r="J272" s="204">
        <v>46134</v>
      </c>
      <c r="K272" s="205">
        <f t="shared" si="18"/>
        <v>46148</v>
      </c>
      <c r="L272" s="66">
        <v>46113</v>
      </c>
      <c r="M272" s="66">
        <v>46133</v>
      </c>
      <c r="N272" s="32">
        <v>21</v>
      </c>
      <c r="O272" s="201">
        <f t="shared" si="16"/>
        <v>116.13</v>
      </c>
      <c r="P272" s="78">
        <v>0</v>
      </c>
      <c r="Q272" s="79">
        <f t="shared" si="17"/>
        <v>0</v>
      </c>
      <c r="R272" s="206"/>
      <c r="S272" s="75" t="s">
        <v>528</v>
      </c>
      <c r="T272" s="80"/>
      <c r="U272" s="80"/>
      <c r="V272" s="80"/>
      <c r="W272" s="80"/>
      <c r="X272" s="80"/>
      <c r="Y272" s="80"/>
      <c r="Z272" s="80"/>
      <c r="AA272" s="80"/>
      <c r="AB272" s="80"/>
      <c r="AC272" s="80"/>
      <c r="AD272" s="80"/>
      <c r="AE272" s="80"/>
      <c r="AF272" s="80"/>
      <c r="AG272" s="80"/>
      <c r="AH272" s="80"/>
      <c r="AI272" s="80"/>
      <c r="AJ272" s="80"/>
      <c r="AK272" s="80"/>
      <c r="AL272" s="80"/>
      <c r="AM272" s="80"/>
      <c r="AN272" s="80"/>
      <c r="AO272" s="80"/>
      <c r="AP272" s="80"/>
    </row>
    <row r="273" s="164" customFormat="1" ht="30" spans="1:42">
      <c r="A273" s="72">
        <v>26</v>
      </c>
      <c r="B273" s="72" t="s">
        <v>21</v>
      </c>
      <c r="C273" s="72" t="s">
        <v>22</v>
      </c>
      <c r="D273" s="73">
        <v>1</v>
      </c>
      <c r="E273" s="72" t="s">
        <v>53</v>
      </c>
      <c r="F273" s="74">
        <v>5.53</v>
      </c>
      <c r="G273" s="75" t="s">
        <v>380</v>
      </c>
      <c r="H273" s="192"/>
      <c r="I273" s="66">
        <v>46058</v>
      </c>
      <c r="J273" s="204">
        <v>46134</v>
      </c>
      <c r="K273" s="205">
        <f t="shared" si="18"/>
        <v>46148</v>
      </c>
      <c r="L273" s="66">
        <v>46113</v>
      </c>
      <c r="M273" s="66">
        <v>46133</v>
      </c>
      <c r="N273" s="32">
        <v>21</v>
      </c>
      <c r="O273" s="201">
        <f t="shared" si="16"/>
        <v>116.13</v>
      </c>
      <c r="P273" s="78">
        <v>0</v>
      </c>
      <c r="Q273" s="79">
        <f t="shared" si="17"/>
        <v>0</v>
      </c>
      <c r="R273" s="206"/>
      <c r="S273" s="75" t="s">
        <v>529</v>
      </c>
      <c r="T273" s="80"/>
      <c r="U273" s="80"/>
      <c r="V273" s="80"/>
      <c r="W273" s="80"/>
      <c r="X273" s="80"/>
      <c r="Y273" s="80"/>
      <c r="Z273" s="80"/>
      <c r="AA273" s="80"/>
      <c r="AB273" s="80"/>
      <c r="AC273" s="80"/>
      <c r="AD273" s="80"/>
      <c r="AE273" s="80"/>
      <c r="AF273" s="80"/>
      <c r="AG273" s="80"/>
      <c r="AH273" s="80"/>
      <c r="AI273" s="80"/>
      <c r="AJ273" s="80"/>
      <c r="AK273" s="80"/>
      <c r="AL273" s="80"/>
      <c r="AM273" s="80"/>
      <c r="AN273" s="80"/>
      <c r="AO273" s="80"/>
      <c r="AP273" s="80"/>
    </row>
    <row r="274" s="164" customFormat="1" ht="30" spans="1:42">
      <c r="A274" s="72">
        <v>26</v>
      </c>
      <c r="B274" s="72" t="s">
        <v>21</v>
      </c>
      <c r="C274" s="72" t="s">
        <v>22</v>
      </c>
      <c r="D274" s="73">
        <v>1</v>
      </c>
      <c r="E274" s="72" t="s">
        <v>53</v>
      </c>
      <c r="F274" s="74">
        <v>5.53</v>
      </c>
      <c r="G274" s="75" t="s">
        <v>381</v>
      </c>
      <c r="H274" s="192"/>
      <c r="I274" s="66">
        <v>46058</v>
      </c>
      <c r="J274" s="204">
        <v>46134</v>
      </c>
      <c r="K274" s="205">
        <f t="shared" si="18"/>
        <v>46148</v>
      </c>
      <c r="L274" s="66">
        <v>46113</v>
      </c>
      <c r="M274" s="66">
        <v>46133</v>
      </c>
      <c r="N274" s="32">
        <v>21</v>
      </c>
      <c r="O274" s="201">
        <f t="shared" si="16"/>
        <v>116.13</v>
      </c>
      <c r="P274" s="78">
        <v>0</v>
      </c>
      <c r="Q274" s="79">
        <f t="shared" si="17"/>
        <v>0</v>
      </c>
      <c r="R274" s="206"/>
      <c r="S274" s="75"/>
      <c r="T274" s="80"/>
      <c r="U274" s="80"/>
      <c r="V274" s="80"/>
      <c r="W274" s="80"/>
      <c r="X274" s="80"/>
      <c r="Y274" s="80"/>
      <c r="Z274" s="80"/>
      <c r="AA274" s="80"/>
      <c r="AB274" s="80"/>
      <c r="AC274" s="80"/>
      <c r="AD274" s="80"/>
      <c r="AE274" s="80"/>
      <c r="AF274" s="80"/>
      <c r="AG274" s="80"/>
      <c r="AH274" s="80"/>
      <c r="AI274" s="80"/>
      <c r="AJ274" s="80"/>
      <c r="AK274" s="80"/>
      <c r="AL274" s="80"/>
      <c r="AM274" s="80"/>
      <c r="AN274" s="80"/>
      <c r="AO274" s="80"/>
      <c r="AP274" s="80"/>
    </row>
    <row r="275" s="164" customFormat="1" ht="30" spans="1:42">
      <c r="A275" s="72">
        <v>26</v>
      </c>
      <c r="B275" s="72" t="s">
        <v>21</v>
      </c>
      <c r="C275" s="72" t="s">
        <v>22</v>
      </c>
      <c r="D275" s="73">
        <v>1</v>
      </c>
      <c r="E275" s="72" t="s">
        <v>53</v>
      </c>
      <c r="F275" s="74">
        <v>5.53</v>
      </c>
      <c r="G275" s="75" t="s">
        <v>382</v>
      </c>
      <c r="H275" s="192"/>
      <c r="I275" s="66">
        <v>46058</v>
      </c>
      <c r="J275" s="204">
        <v>46134</v>
      </c>
      <c r="K275" s="205">
        <f t="shared" si="18"/>
        <v>46148</v>
      </c>
      <c r="L275" s="66">
        <v>46113</v>
      </c>
      <c r="M275" s="66">
        <v>46133</v>
      </c>
      <c r="N275" s="32">
        <v>21</v>
      </c>
      <c r="O275" s="201">
        <f t="shared" si="16"/>
        <v>116.13</v>
      </c>
      <c r="P275" s="78">
        <v>0</v>
      </c>
      <c r="Q275" s="79">
        <f t="shared" si="17"/>
        <v>0</v>
      </c>
      <c r="R275" s="206"/>
      <c r="S275" s="75" t="s">
        <v>530</v>
      </c>
      <c r="T275" s="80"/>
      <c r="U275" s="80"/>
      <c r="V275" s="80"/>
      <c r="W275" s="80"/>
      <c r="X275" s="80"/>
      <c r="Y275" s="80"/>
      <c r="Z275" s="80"/>
      <c r="AA275" s="80"/>
      <c r="AB275" s="80"/>
      <c r="AC275" s="80"/>
      <c r="AD275" s="80"/>
      <c r="AE275" s="80"/>
      <c r="AF275" s="80"/>
      <c r="AG275" s="80"/>
      <c r="AH275" s="80"/>
      <c r="AI275" s="80"/>
      <c r="AJ275" s="80"/>
      <c r="AK275" s="80"/>
      <c r="AL275" s="80"/>
      <c r="AM275" s="80"/>
      <c r="AN275" s="80"/>
      <c r="AO275" s="80"/>
      <c r="AP275" s="80"/>
    </row>
    <row r="276" s="164" customFormat="1" ht="30" spans="1:42">
      <c r="A276" s="72">
        <v>26</v>
      </c>
      <c r="B276" s="72" t="s">
        <v>21</v>
      </c>
      <c r="C276" s="72" t="s">
        <v>22</v>
      </c>
      <c r="D276" s="73">
        <v>1</v>
      </c>
      <c r="E276" s="72" t="s">
        <v>53</v>
      </c>
      <c r="F276" s="74">
        <v>5.53</v>
      </c>
      <c r="G276" s="75" t="s">
        <v>383</v>
      </c>
      <c r="H276" s="192"/>
      <c r="I276" s="66">
        <v>46058</v>
      </c>
      <c r="J276" s="204">
        <v>46134</v>
      </c>
      <c r="K276" s="205">
        <f t="shared" si="18"/>
        <v>46148</v>
      </c>
      <c r="L276" s="66">
        <v>46113</v>
      </c>
      <c r="M276" s="66">
        <v>46133</v>
      </c>
      <c r="N276" s="32">
        <v>21</v>
      </c>
      <c r="O276" s="201">
        <f t="shared" si="16"/>
        <v>116.13</v>
      </c>
      <c r="P276" s="78">
        <v>0</v>
      </c>
      <c r="Q276" s="79">
        <f t="shared" si="17"/>
        <v>0</v>
      </c>
      <c r="R276" s="206"/>
      <c r="S276" s="75"/>
      <c r="T276" s="80"/>
      <c r="U276" s="80"/>
      <c r="V276" s="80"/>
      <c r="W276" s="80"/>
      <c r="X276" s="80"/>
      <c r="Y276" s="80"/>
      <c r="Z276" s="80"/>
      <c r="AA276" s="80"/>
      <c r="AB276" s="80"/>
      <c r="AC276" s="80"/>
      <c r="AD276" s="80"/>
      <c r="AE276" s="80"/>
      <c r="AF276" s="80"/>
      <c r="AG276" s="80"/>
      <c r="AH276" s="80"/>
      <c r="AI276" s="80"/>
      <c r="AJ276" s="80"/>
      <c r="AK276" s="80"/>
      <c r="AL276" s="80"/>
      <c r="AM276" s="80"/>
      <c r="AN276" s="80"/>
      <c r="AO276" s="80"/>
      <c r="AP276" s="80"/>
    </row>
    <row r="277" s="164" customFormat="1" ht="30" spans="1:42">
      <c r="A277" s="72">
        <v>26</v>
      </c>
      <c r="B277" s="72" t="s">
        <v>21</v>
      </c>
      <c r="C277" s="72" t="s">
        <v>22</v>
      </c>
      <c r="D277" s="73">
        <v>1</v>
      </c>
      <c r="E277" s="72" t="s">
        <v>53</v>
      </c>
      <c r="F277" s="74">
        <v>5.53</v>
      </c>
      <c r="G277" s="75" t="s">
        <v>384</v>
      </c>
      <c r="H277" s="192"/>
      <c r="I277" s="66">
        <v>46058</v>
      </c>
      <c r="J277" s="204">
        <v>46134</v>
      </c>
      <c r="K277" s="205">
        <f t="shared" si="18"/>
        <v>46148</v>
      </c>
      <c r="L277" s="66">
        <v>46113</v>
      </c>
      <c r="M277" s="66">
        <v>46133</v>
      </c>
      <c r="N277" s="32">
        <v>21</v>
      </c>
      <c r="O277" s="201">
        <f t="shared" si="16"/>
        <v>116.13</v>
      </c>
      <c r="P277" s="78">
        <v>0</v>
      </c>
      <c r="Q277" s="79">
        <f t="shared" si="17"/>
        <v>0</v>
      </c>
      <c r="R277" s="206"/>
      <c r="S277" s="75" t="s">
        <v>531</v>
      </c>
      <c r="T277" s="80"/>
      <c r="U277" s="80"/>
      <c r="V277" s="80"/>
      <c r="W277" s="80"/>
      <c r="X277" s="80"/>
      <c r="Y277" s="80"/>
      <c r="Z277" s="80"/>
      <c r="AA277" s="80"/>
      <c r="AB277" s="80"/>
      <c r="AC277" s="80"/>
      <c r="AD277" s="80"/>
      <c r="AE277" s="80"/>
      <c r="AF277" s="80"/>
      <c r="AG277" s="80"/>
      <c r="AH277" s="80"/>
      <c r="AI277" s="80"/>
      <c r="AJ277" s="80"/>
      <c r="AK277" s="80"/>
      <c r="AL277" s="80"/>
      <c r="AM277" s="80"/>
      <c r="AN277" s="80"/>
      <c r="AO277" s="80"/>
      <c r="AP277" s="80"/>
    </row>
    <row r="278" s="164" customFormat="1" ht="30" spans="1:42">
      <c r="A278" s="72">
        <v>26</v>
      </c>
      <c r="B278" s="72" t="s">
        <v>21</v>
      </c>
      <c r="C278" s="72" t="s">
        <v>22</v>
      </c>
      <c r="D278" s="73">
        <v>1</v>
      </c>
      <c r="E278" s="72" t="s">
        <v>53</v>
      </c>
      <c r="F278" s="74">
        <v>5.53</v>
      </c>
      <c r="G278" s="75" t="s">
        <v>385</v>
      </c>
      <c r="H278" s="192"/>
      <c r="I278" s="66">
        <v>46058</v>
      </c>
      <c r="J278" s="204">
        <v>46134</v>
      </c>
      <c r="K278" s="205">
        <f t="shared" si="18"/>
        <v>46148</v>
      </c>
      <c r="L278" s="66">
        <v>46113</v>
      </c>
      <c r="M278" s="66">
        <v>46133</v>
      </c>
      <c r="N278" s="32">
        <v>21</v>
      </c>
      <c r="O278" s="201">
        <f t="shared" si="16"/>
        <v>116.13</v>
      </c>
      <c r="P278" s="78">
        <v>0</v>
      </c>
      <c r="Q278" s="79">
        <f t="shared" si="17"/>
        <v>0</v>
      </c>
      <c r="R278" s="206"/>
      <c r="S278" s="75"/>
      <c r="T278" s="80"/>
      <c r="U278" s="80"/>
      <c r="V278" s="80"/>
      <c r="W278" s="80"/>
      <c r="X278" s="80"/>
      <c r="Y278" s="80"/>
      <c r="Z278" s="80"/>
      <c r="AA278" s="80"/>
      <c r="AB278" s="80"/>
      <c r="AC278" s="80"/>
      <c r="AD278" s="80"/>
      <c r="AE278" s="80"/>
      <c r="AF278" s="80"/>
      <c r="AG278" s="80"/>
      <c r="AH278" s="80"/>
      <c r="AI278" s="80"/>
      <c r="AJ278" s="80"/>
      <c r="AK278" s="80"/>
      <c r="AL278" s="80"/>
      <c r="AM278" s="80"/>
      <c r="AN278" s="80"/>
      <c r="AO278" s="80"/>
      <c r="AP278" s="80"/>
    </row>
    <row r="279" s="164" customFormat="1" ht="30" spans="1:42">
      <c r="A279" s="72">
        <v>26</v>
      </c>
      <c r="B279" s="72" t="s">
        <v>21</v>
      </c>
      <c r="C279" s="72" t="s">
        <v>22</v>
      </c>
      <c r="D279" s="73">
        <v>1</v>
      </c>
      <c r="E279" s="72" t="s">
        <v>53</v>
      </c>
      <c r="F279" s="74">
        <v>5.53</v>
      </c>
      <c r="G279" s="75" t="s">
        <v>386</v>
      </c>
      <c r="H279" s="192"/>
      <c r="I279" s="66">
        <v>46058</v>
      </c>
      <c r="J279" s="204">
        <v>46134</v>
      </c>
      <c r="K279" s="205">
        <f t="shared" si="18"/>
        <v>46148</v>
      </c>
      <c r="L279" s="66">
        <v>46113</v>
      </c>
      <c r="M279" s="66">
        <v>46133</v>
      </c>
      <c r="N279" s="32">
        <v>21</v>
      </c>
      <c r="O279" s="201">
        <f t="shared" si="16"/>
        <v>116.13</v>
      </c>
      <c r="P279" s="78">
        <v>0</v>
      </c>
      <c r="Q279" s="79">
        <f t="shared" si="17"/>
        <v>0</v>
      </c>
      <c r="R279" s="206"/>
      <c r="S279" s="75"/>
      <c r="T279" s="80"/>
      <c r="U279" s="80"/>
      <c r="V279" s="80"/>
      <c r="W279" s="80"/>
      <c r="X279" s="80"/>
      <c r="Y279" s="80"/>
      <c r="Z279" s="80"/>
      <c r="AA279" s="80"/>
      <c r="AB279" s="80"/>
      <c r="AC279" s="80"/>
      <c r="AD279" s="80"/>
      <c r="AE279" s="80"/>
      <c r="AF279" s="80"/>
      <c r="AG279" s="80"/>
      <c r="AH279" s="80"/>
      <c r="AI279" s="80"/>
      <c r="AJ279" s="80"/>
      <c r="AK279" s="80"/>
      <c r="AL279" s="80"/>
      <c r="AM279" s="80"/>
      <c r="AN279" s="80"/>
      <c r="AO279" s="80"/>
      <c r="AP279" s="80"/>
    </row>
    <row r="280" s="164" customFormat="1" ht="30" spans="1:42">
      <c r="A280" s="72">
        <v>26</v>
      </c>
      <c r="B280" s="72" t="s">
        <v>21</v>
      </c>
      <c r="C280" s="72" t="s">
        <v>22</v>
      </c>
      <c r="D280" s="73">
        <v>1</v>
      </c>
      <c r="E280" s="72" t="s">
        <v>53</v>
      </c>
      <c r="F280" s="74">
        <v>5.53</v>
      </c>
      <c r="G280" s="75" t="s">
        <v>387</v>
      </c>
      <c r="H280" s="192"/>
      <c r="I280" s="66">
        <v>46058</v>
      </c>
      <c r="J280" s="204">
        <v>46134</v>
      </c>
      <c r="K280" s="205">
        <f t="shared" si="18"/>
        <v>46148</v>
      </c>
      <c r="L280" s="66">
        <v>46113</v>
      </c>
      <c r="M280" s="66">
        <v>46133</v>
      </c>
      <c r="N280" s="32">
        <v>21</v>
      </c>
      <c r="O280" s="201">
        <f t="shared" si="16"/>
        <v>116.13</v>
      </c>
      <c r="P280" s="78">
        <v>0</v>
      </c>
      <c r="Q280" s="79">
        <f t="shared" si="17"/>
        <v>0</v>
      </c>
      <c r="R280" s="206"/>
      <c r="S280" s="75" t="s">
        <v>532</v>
      </c>
      <c r="T280" s="80"/>
      <c r="U280" s="80"/>
      <c r="V280" s="80"/>
      <c r="W280" s="80"/>
      <c r="X280" s="80"/>
      <c r="Y280" s="80"/>
      <c r="Z280" s="80"/>
      <c r="AA280" s="80"/>
      <c r="AB280" s="80"/>
      <c r="AC280" s="80"/>
      <c r="AD280" s="80"/>
      <c r="AE280" s="80"/>
      <c r="AF280" s="80"/>
      <c r="AG280" s="80"/>
      <c r="AH280" s="80"/>
      <c r="AI280" s="80"/>
      <c r="AJ280" s="80"/>
      <c r="AK280" s="80"/>
      <c r="AL280" s="80"/>
      <c r="AM280" s="80"/>
      <c r="AN280" s="80"/>
      <c r="AO280" s="80"/>
      <c r="AP280" s="80"/>
    </row>
    <row r="281" s="164" customFormat="1" ht="30" spans="1:42">
      <c r="A281" s="72">
        <v>26</v>
      </c>
      <c r="B281" s="72" t="s">
        <v>21</v>
      </c>
      <c r="C281" s="72" t="s">
        <v>22</v>
      </c>
      <c r="D281" s="73">
        <v>1</v>
      </c>
      <c r="E281" s="72" t="s">
        <v>53</v>
      </c>
      <c r="F281" s="74">
        <v>5.53</v>
      </c>
      <c r="G281" s="75" t="s">
        <v>388</v>
      </c>
      <c r="H281" s="192"/>
      <c r="I281" s="66">
        <v>46058</v>
      </c>
      <c r="J281" s="204">
        <v>46134</v>
      </c>
      <c r="K281" s="205">
        <f t="shared" si="18"/>
        <v>46148</v>
      </c>
      <c r="L281" s="66">
        <v>46113</v>
      </c>
      <c r="M281" s="66">
        <v>46133</v>
      </c>
      <c r="N281" s="208">
        <v>21</v>
      </c>
      <c r="O281" s="201">
        <f t="shared" si="16"/>
        <v>116.13</v>
      </c>
      <c r="P281" s="78">
        <v>0</v>
      </c>
      <c r="Q281" s="79">
        <f t="shared" si="17"/>
        <v>0</v>
      </c>
      <c r="R281" s="206"/>
      <c r="S281" s="75"/>
      <c r="T281" s="80"/>
      <c r="U281" s="80"/>
      <c r="V281" s="80"/>
      <c r="W281" s="80"/>
      <c r="X281" s="80"/>
      <c r="Y281" s="80"/>
      <c r="Z281" s="80"/>
      <c r="AA281" s="80"/>
      <c r="AB281" s="80"/>
      <c r="AC281" s="80"/>
      <c r="AD281" s="80"/>
      <c r="AE281" s="80"/>
      <c r="AF281" s="80"/>
      <c r="AG281" s="80"/>
      <c r="AH281" s="80"/>
      <c r="AI281" s="80"/>
      <c r="AJ281" s="80"/>
      <c r="AK281" s="80"/>
      <c r="AL281" s="80"/>
      <c r="AM281" s="80"/>
      <c r="AN281" s="80"/>
      <c r="AO281" s="80"/>
      <c r="AP281" s="80"/>
    </row>
    <row r="282" s="164" customFormat="1" ht="30" spans="1:42">
      <c r="A282" s="72">
        <v>26</v>
      </c>
      <c r="B282" s="72" t="s">
        <v>21</v>
      </c>
      <c r="C282" s="72" t="s">
        <v>22</v>
      </c>
      <c r="D282" s="73">
        <v>1</v>
      </c>
      <c r="E282" s="72" t="s">
        <v>53</v>
      </c>
      <c r="F282" s="74">
        <v>5.53</v>
      </c>
      <c r="G282" s="75" t="s">
        <v>389</v>
      </c>
      <c r="H282" s="192"/>
      <c r="I282" s="66">
        <v>46058</v>
      </c>
      <c r="J282" s="204">
        <v>46134</v>
      </c>
      <c r="K282" s="205">
        <f t="shared" si="18"/>
        <v>46148</v>
      </c>
      <c r="L282" s="66">
        <v>46113</v>
      </c>
      <c r="M282" s="66">
        <v>46133</v>
      </c>
      <c r="N282" s="208">
        <v>21</v>
      </c>
      <c r="O282" s="201">
        <f t="shared" si="16"/>
        <v>116.13</v>
      </c>
      <c r="P282" s="78">
        <v>0</v>
      </c>
      <c r="Q282" s="79">
        <f t="shared" si="17"/>
        <v>0</v>
      </c>
      <c r="R282" s="206"/>
      <c r="S282" s="75"/>
      <c r="T282" s="80"/>
      <c r="U282" s="80"/>
      <c r="V282" s="80"/>
      <c r="W282" s="80"/>
      <c r="X282" s="80"/>
      <c r="Y282" s="80"/>
      <c r="Z282" s="80"/>
      <c r="AA282" s="80"/>
      <c r="AB282" s="80"/>
      <c r="AC282" s="80"/>
      <c r="AD282" s="80"/>
      <c r="AE282" s="80"/>
      <c r="AF282" s="80"/>
      <c r="AG282" s="80"/>
      <c r="AH282" s="80"/>
      <c r="AI282" s="80"/>
      <c r="AJ282" s="80"/>
      <c r="AK282" s="80"/>
      <c r="AL282" s="80"/>
      <c r="AM282" s="80"/>
      <c r="AN282" s="80"/>
      <c r="AO282" s="80"/>
      <c r="AP282" s="80"/>
    </row>
    <row r="283" s="164" customFormat="1" ht="30" spans="1:42">
      <c r="A283" s="72">
        <v>26</v>
      </c>
      <c r="B283" s="72" t="s">
        <v>21</v>
      </c>
      <c r="C283" s="72" t="s">
        <v>22</v>
      </c>
      <c r="D283" s="73">
        <v>1</v>
      </c>
      <c r="E283" s="72" t="s">
        <v>53</v>
      </c>
      <c r="F283" s="74">
        <v>5.53</v>
      </c>
      <c r="G283" s="75" t="s">
        <v>390</v>
      </c>
      <c r="H283" s="192"/>
      <c r="I283" s="66">
        <v>46058</v>
      </c>
      <c r="J283" s="204">
        <v>46134</v>
      </c>
      <c r="K283" s="205">
        <f t="shared" si="18"/>
        <v>46148</v>
      </c>
      <c r="L283" s="66">
        <v>46113</v>
      </c>
      <c r="M283" s="66">
        <v>46133</v>
      </c>
      <c r="N283" s="208">
        <v>21</v>
      </c>
      <c r="O283" s="201">
        <f t="shared" si="16"/>
        <v>116.13</v>
      </c>
      <c r="P283" s="78">
        <v>0</v>
      </c>
      <c r="Q283" s="79">
        <f t="shared" si="17"/>
        <v>0</v>
      </c>
      <c r="R283" s="206"/>
      <c r="S283" s="75"/>
      <c r="T283" s="80"/>
      <c r="U283" s="80"/>
      <c r="V283" s="80"/>
      <c r="W283" s="80"/>
      <c r="X283" s="80"/>
      <c r="Y283" s="80"/>
      <c r="Z283" s="80"/>
      <c r="AA283" s="80"/>
      <c r="AB283" s="80"/>
      <c r="AC283" s="80"/>
      <c r="AD283" s="80"/>
      <c r="AE283" s="80"/>
      <c r="AF283" s="80"/>
      <c r="AG283" s="80"/>
      <c r="AH283" s="80"/>
      <c r="AI283" s="80"/>
      <c r="AJ283" s="80"/>
      <c r="AK283" s="80"/>
      <c r="AL283" s="80"/>
      <c r="AM283" s="80"/>
      <c r="AN283" s="80"/>
      <c r="AO283" s="80"/>
      <c r="AP283" s="80"/>
    </row>
    <row r="284" s="164" customFormat="1" ht="30" spans="1:42">
      <c r="A284" s="72">
        <v>26</v>
      </c>
      <c r="B284" s="72" t="s">
        <v>21</v>
      </c>
      <c r="C284" s="72" t="s">
        <v>22</v>
      </c>
      <c r="D284" s="73">
        <v>1</v>
      </c>
      <c r="E284" s="72" t="s">
        <v>53</v>
      </c>
      <c r="F284" s="74">
        <v>5.53</v>
      </c>
      <c r="G284" s="75" t="s">
        <v>391</v>
      </c>
      <c r="H284" s="192"/>
      <c r="I284" s="66">
        <v>46058</v>
      </c>
      <c r="J284" s="204">
        <v>46134</v>
      </c>
      <c r="K284" s="205">
        <f t="shared" si="18"/>
        <v>46148</v>
      </c>
      <c r="L284" s="66">
        <v>46113</v>
      </c>
      <c r="M284" s="66">
        <v>46133</v>
      </c>
      <c r="N284" s="208">
        <v>21</v>
      </c>
      <c r="O284" s="201">
        <f t="shared" si="16"/>
        <v>116.13</v>
      </c>
      <c r="P284" s="78">
        <v>0</v>
      </c>
      <c r="Q284" s="79">
        <f t="shared" si="17"/>
        <v>0</v>
      </c>
      <c r="R284" s="206"/>
      <c r="S284" s="75"/>
      <c r="T284" s="80"/>
      <c r="U284" s="80"/>
      <c r="V284" s="80"/>
      <c r="W284" s="80"/>
      <c r="X284" s="80"/>
      <c r="Y284" s="80"/>
      <c r="Z284" s="80"/>
      <c r="AA284" s="80"/>
      <c r="AB284" s="80"/>
      <c r="AC284" s="80"/>
      <c r="AD284" s="80"/>
      <c r="AE284" s="80"/>
      <c r="AF284" s="80"/>
      <c r="AG284" s="80"/>
      <c r="AH284" s="80"/>
      <c r="AI284" s="80"/>
      <c r="AJ284" s="80"/>
      <c r="AK284" s="80"/>
      <c r="AL284" s="80"/>
      <c r="AM284" s="80"/>
      <c r="AN284" s="80"/>
      <c r="AO284" s="80"/>
      <c r="AP284" s="80"/>
    </row>
    <row r="285" s="164" customFormat="1" ht="30" spans="1:42">
      <c r="A285" s="72">
        <v>26</v>
      </c>
      <c r="B285" s="72" t="s">
        <v>21</v>
      </c>
      <c r="C285" s="72" t="s">
        <v>22</v>
      </c>
      <c r="D285" s="73">
        <v>1</v>
      </c>
      <c r="E285" s="72" t="s">
        <v>53</v>
      </c>
      <c r="F285" s="74">
        <v>5.53</v>
      </c>
      <c r="G285" s="75" t="s">
        <v>392</v>
      </c>
      <c r="H285" s="192"/>
      <c r="I285" s="66">
        <v>46058</v>
      </c>
      <c r="J285" s="204">
        <v>46134</v>
      </c>
      <c r="K285" s="205">
        <f t="shared" si="18"/>
        <v>46148</v>
      </c>
      <c r="L285" s="66">
        <v>46113</v>
      </c>
      <c r="M285" s="66">
        <v>46133</v>
      </c>
      <c r="N285" s="208">
        <v>21</v>
      </c>
      <c r="O285" s="201">
        <f t="shared" si="16"/>
        <v>116.13</v>
      </c>
      <c r="P285" s="78">
        <v>0</v>
      </c>
      <c r="Q285" s="79">
        <f t="shared" si="17"/>
        <v>0</v>
      </c>
      <c r="R285" s="206"/>
      <c r="S285" s="75"/>
      <c r="T285" s="80"/>
      <c r="U285" s="80"/>
      <c r="V285" s="80"/>
      <c r="W285" s="80"/>
      <c r="X285" s="80"/>
      <c r="Y285" s="80"/>
      <c r="Z285" s="80"/>
      <c r="AA285" s="80"/>
      <c r="AB285" s="80"/>
      <c r="AC285" s="80"/>
      <c r="AD285" s="80"/>
      <c r="AE285" s="80"/>
      <c r="AF285" s="80"/>
      <c r="AG285" s="80"/>
      <c r="AH285" s="80"/>
      <c r="AI285" s="80"/>
      <c r="AJ285" s="80"/>
      <c r="AK285" s="80"/>
      <c r="AL285" s="80"/>
      <c r="AM285" s="80"/>
      <c r="AN285" s="80"/>
      <c r="AO285" s="80"/>
      <c r="AP285" s="80"/>
    </row>
    <row r="286" s="164" customFormat="1" ht="30" spans="1:42">
      <c r="A286" s="72">
        <v>26</v>
      </c>
      <c r="B286" s="72" t="s">
        <v>21</v>
      </c>
      <c r="C286" s="72" t="s">
        <v>22</v>
      </c>
      <c r="D286" s="73">
        <v>1</v>
      </c>
      <c r="E286" s="72" t="s">
        <v>53</v>
      </c>
      <c r="F286" s="74">
        <v>5.53</v>
      </c>
      <c r="G286" s="75" t="s">
        <v>393</v>
      </c>
      <c r="H286" s="192"/>
      <c r="I286" s="66">
        <v>46058</v>
      </c>
      <c r="J286" s="204">
        <v>46134</v>
      </c>
      <c r="K286" s="205">
        <f t="shared" si="18"/>
        <v>46148</v>
      </c>
      <c r="L286" s="66">
        <v>46113</v>
      </c>
      <c r="M286" s="66">
        <v>46133</v>
      </c>
      <c r="N286" s="208">
        <v>21</v>
      </c>
      <c r="O286" s="201">
        <f t="shared" si="16"/>
        <v>116.13</v>
      </c>
      <c r="P286" s="78">
        <v>0</v>
      </c>
      <c r="Q286" s="79">
        <f t="shared" si="17"/>
        <v>0</v>
      </c>
      <c r="R286" s="206"/>
      <c r="S286" s="75" t="s">
        <v>533</v>
      </c>
      <c r="T286" s="80"/>
      <c r="U286" s="80"/>
      <c r="V286" s="80"/>
      <c r="W286" s="80"/>
      <c r="X286" s="80"/>
      <c r="Y286" s="80"/>
      <c r="Z286" s="80"/>
      <c r="AA286" s="80"/>
      <c r="AB286" s="80"/>
      <c r="AC286" s="80"/>
      <c r="AD286" s="80"/>
      <c r="AE286" s="80"/>
      <c r="AF286" s="80"/>
      <c r="AG286" s="80"/>
      <c r="AH286" s="80"/>
      <c r="AI286" s="80"/>
      <c r="AJ286" s="80"/>
      <c r="AK286" s="80"/>
      <c r="AL286" s="80"/>
      <c r="AM286" s="80"/>
      <c r="AN286" s="80"/>
      <c r="AO286" s="80"/>
      <c r="AP286" s="80"/>
    </row>
    <row r="287" s="164" customFormat="1" ht="30" spans="1:42">
      <c r="A287" s="72">
        <v>26</v>
      </c>
      <c r="B287" s="72" t="s">
        <v>21</v>
      </c>
      <c r="C287" s="72" t="s">
        <v>22</v>
      </c>
      <c r="D287" s="73">
        <v>1</v>
      </c>
      <c r="E287" s="72" t="s">
        <v>53</v>
      </c>
      <c r="F287" s="74">
        <v>5.53</v>
      </c>
      <c r="G287" s="75" t="s">
        <v>394</v>
      </c>
      <c r="H287" s="192"/>
      <c r="I287" s="66">
        <v>46058</v>
      </c>
      <c r="J287" s="204">
        <v>46134</v>
      </c>
      <c r="K287" s="205">
        <f t="shared" si="18"/>
        <v>46148</v>
      </c>
      <c r="L287" s="66">
        <v>46113</v>
      </c>
      <c r="M287" s="66">
        <v>46133</v>
      </c>
      <c r="N287" s="208">
        <v>21</v>
      </c>
      <c r="O287" s="201">
        <f t="shared" si="16"/>
        <v>116.13</v>
      </c>
      <c r="P287" s="78">
        <v>0</v>
      </c>
      <c r="Q287" s="79">
        <f t="shared" si="17"/>
        <v>0</v>
      </c>
      <c r="R287" s="206"/>
      <c r="S287" s="75" t="s">
        <v>534</v>
      </c>
      <c r="T287" s="80"/>
      <c r="U287" s="80"/>
      <c r="V287" s="80"/>
      <c r="W287" s="80"/>
      <c r="X287" s="80"/>
      <c r="Y287" s="80"/>
      <c r="Z287" s="80"/>
      <c r="AA287" s="80"/>
      <c r="AB287" s="80"/>
      <c r="AC287" s="80"/>
      <c r="AD287" s="80"/>
      <c r="AE287" s="80"/>
      <c r="AF287" s="80"/>
      <c r="AG287" s="80"/>
      <c r="AH287" s="80"/>
      <c r="AI287" s="80"/>
      <c r="AJ287" s="80"/>
      <c r="AK287" s="80"/>
      <c r="AL287" s="80"/>
      <c r="AM287" s="80"/>
      <c r="AN287" s="80"/>
      <c r="AO287" s="80"/>
      <c r="AP287" s="80"/>
    </row>
    <row r="288" s="164" customFormat="1" ht="30" spans="1:42">
      <c r="A288" s="72">
        <v>26</v>
      </c>
      <c r="B288" s="72" t="s">
        <v>21</v>
      </c>
      <c r="C288" s="72" t="s">
        <v>22</v>
      </c>
      <c r="D288" s="73">
        <v>1</v>
      </c>
      <c r="E288" s="72" t="s">
        <v>53</v>
      </c>
      <c r="F288" s="74">
        <v>5.53</v>
      </c>
      <c r="G288" s="75" t="s">
        <v>395</v>
      </c>
      <c r="H288" s="192"/>
      <c r="I288" s="66">
        <v>46058</v>
      </c>
      <c r="J288" s="204">
        <v>46134</v>
      </c>
      <c r="K288" s="205">
        <f t="shared" si="18"/>
        <v>46148</v>
      </c>
      <c r="L288" s="66">
        <v>46113</v>
      </c>
      <c r="M288" s="66">
        <v>46133</v>
      </c>
      <c r="N288" s="208">
        <v>21</v>
      </c>
      <c r="O288" s="201">
        <f t="shared" si="16"/>
        <v>116.13</v>
      </c>
      <c r="P288" s="78">
        <v>0</v>
      </c>
      <c r="Q288" s="79">
        <f t="shared" si="17"/>
        <v>0</v>
      </c>
      <c r="R288" s="206"/>
      <c r="S288" s="75"/>
      <c r="T288" s="80"/>
      <c r="U288" s="80"/>
      <c r="V288" s="80"/>
      <c r="W288" s="80"/>
      <c r="X288" s="80"/>
      <c r="Y288" s="80"/>
      <c r="Z288" s="80"/>
      <c r="AA288" s="80"/>
      <c r="AB288" s="80"/>
      <c r="AC288" s="80"/>
      <c r="AD288" s="80"/>
      <c r="AE288" s="80"/>
      <c r="AF288" s="80"/>
      <c r="AG288" s="80"/>
      <c r="AH288" s="80"/>
      <c r="AI288" s="80"/>
      <c r="AJ288" s="80"/>
      <c r="AK288" s="80"/>
      <c r="AL288" s="80"/>
      <c r="AM288" s="80"/>
      <c r="AN288" s="80"/>
      <c r="AO288" s="80"/>
      <c r="AP288" s="80"/>
    </row>
    <row r="289" s="164" customFormat="1" ht="30" spans="1:42">
      <c r="A289" s="72">
        <v>26</v>
      </c>
      <c r="B289" s="72" t="s">
        <v>21</v>
      </c>
      <c r="C289" s="72" t="s">
        <v>22</v>
      </c>
      <c r="D289" s="73">
        <v>1</v>
      </c>
      <c r="E289" s="72" t="s">
        <v>53</v>
      </c>
      <c r="F289" s="74">
        <v>5.53</v>
      </c>
      <c r="G289" s="75" t="s">
        <v>396</v>
      </c>
      <c r="H289" s="192"/>
      <c r="I289" s="66">
        <v>46058</v>
      </c>
      <c r="J289" s="204">
        <v>46134</v>
      </c>
      <c r="K289" s="205">
        <f t="shared" si="18"/>
        <v>46148</v>
      </c>
      <c r="L289" s="66">
        <v>46113</v>
      </c>
      <c r="M289" s="66">
        <v>46133</v>
      </c>
      <c r="N289" s="208">
        <v>21</v>
      </c>
      <c r="O289" s="201">
        <f t="shared" si="16"/>
        <v>116.13</v>
      </c>
      <c r="P289" s="78">
        <v>0</v>
      </c>
      <c r="Q289" s="79">
        <f t="shared" si="17"/>
        <v>0</v>
      </c>
      <c r="R289" s="206"/>
      <c r="S289" s="75" t="s">
        <v>535</v>
      </c>
      <c r="T289" s="80"/>
      <c r="U289" s="80"/>
      <c r="V289" s="80"/>
      <c r="W289" s="80"/>
      <c r="X289" s="80"/>
      <c r="Y289" s="80"/>
      <c r="Z289" s="80"/>
      <c r="AA289" s="80"/>
      <c r="AB289" s="80"/>
      <c r="AC289" s="80"/>
      <c r="AD289" s="80"/>
      <c r="AE289" s="80"/>
      <c r="AF289" s="80"/>
      <c r="AG289" s="80"/>
      <c r="AH289" s="80"/>
      <c r="AI289" s="80"/>
      <c r="AJ289" s="80"/>
      <c r="AK289" s="80"/>
      <c r="AL289" s="80"/>
      <c r="AM289" s="80"/>
      <c r="AN289" s="80"/>
      <c r="AO289" s="80"/>
      <c r="AP289" s="80"/>
    </row>
    <row r="290" s="164" customFormat="1" ht="30" spans="1:42">
      <c r="A290" s="72">
        <v>26</v>
      </c>
      <c r="B290" s="72" t="s">
        <v>21</v>
      </c>
      <c r="C290" s="72" t="s">
        <v>22</v>
      </c>
      <c r="D290" s="73">
        <v>1</v>
      </c>
      <c r="E290" s="72" t="s">
        <v>53</v>
      </c>
      <c r="F290" s="74">
        <v>5.53</v>
      </c>
      <c r="G290" s="75" t="s">
        <v>397</v>
      </c>
      <c r="H290" s="192"/>
      <c r="I290" s="66">
        <v>46058</v>
      </c>
      <c r="J290" s="204">
        <v>46134</v>
      </c>
      <c r="K290" s="205">
        <f t="shared" si="18"/>
        <v>46148</v>
      </c>
      <c r="L290" s="66">
        <v>46113</v>
      </c>
      <c r="M290" s="66">
        <v>46133</v>
      </c>
      <c r="N290" s="208">
        <v>21</v>
      </c>
      <c r="O290" s="201">
        <f t="shared" si="16"/>
        <v>116.13</v>
      </c>
      <c r="P290" s="78">
        <v>0</v>
      </c>
      <c r="Q290" s="79">
        <f t="shared" si="17"/>
        <v>0</v>
      </c>
      <c r="R290" s="206"/>
      <c r="S290" s="75"/>
      <c r="T290" s="80"/>
      <c r="U290" s="80"/>
      <c r="V290" s="80"/>
      <c r="W290" s="80"/>
      <c r="X290" s="80"/>
      <c r="Y290" s="80"/>
      <c r="Z290" s="80"/>
      <c r="AA290" s="80"/>
      <c r="AB290" s="80"/>
      <c r="AC290" s="80"/>
      <c r="AD290" s="80"/>
      <c r="AE290" s="80"/>
      <c r="AF290" s="80"/>
      <c r="AG290" s="80"/>
      <c r="AH290" s="80"/>
      <c r="AI290" s="80"/>
      <c r="AJ290" s="80"/>
      <c r="AK290" s="80"/>
      <c r="AL290" s="80"/>
      <c r="AM290" s="80"/>
      <c r="AN290" s="80"/>
      <c r="AO290" s="80"/>
      <c r="AP290" s="80"/>
    </row>
    <row r="291" s="164" customFormat="1" ht="30" spans="1:42">
      <c r="A291" s="72">
        <v>26</v>
      </c>
      <c r="B291" s="72" t="s">
        <v>21</v>
      </c>
      <c r="C291" s="72" t="s">
        <v>22</v>
      </c>
      <c r="D291" s="73">
        <v>1</v>
      </c>
      <c r="E291" s="72" t="s">
        <v>53</v>
      </c>
      <c r="F291" s="74">
        <v>5.53</v>
      </c>
      <c r="G291" s="75" t="s">
        <v>398</v>
      </c>
      <c r="H291" s="192"/>
      <c r="I291" s="66">
        <v>46058</v>
      </c>
      <c r="J291" s="204">
        <v>46134</v>
      </c>
      <c r="K291" s="205">
        <f t="shared" si="18"/>
        <v>46148</v>
      </c>
      <c r="L291" s="66">
        <v>46113</v>
      </c>
      <c r="M291" s="66">
        <v>46133</v>
      </c>
      <c r="N291" s="208">
        <v>21</v>
      </c>
      <c r="O291" s="201">
        <f t="shared" si="16"/>
        <v>116.13</v>
      </c>
      <c r="P291" s="78">
        <v>0</v>
      </c>
      <c r="Q291" s="79">
        <f t="shared" si="17"/>
        <v>0</v>
      </c>
      <c r="R291" s="206"/>
      <c r="S291" s="75"/>
      <c r="T291" s="80"/>
      <c r="U291" s="80"/>
      <c r="V291" s="80"/>
      <c r="W291" s="80"/>
      <c r="X291" s="80"/>
      <c r="Y291" s="80"/>
      <c r="Z291" s="80"/>
      <c r="AA291" s="80"/>
      <c r="AB291" s="80"/>
      <c r="AC291" s="80"/>
      <c r="AD291" s="80"/>
      <c r="AE291" s="80"/>
      <c r="AF291" s="80"/>
      <c r="AG291" s="80"/>
      <c r="AH291" s="80"/>
      <c r="AI291" s="80"/>
      <c r="AJ291" s="80"/>
      <c r="AK291" s="80"/>
      <c r="AL291" s="80"/>
      <c r="AM291" s="80"/>
      <c r="AN291" s="80"/>
      <c r="AO291" s="80"/>
      <c r="AP291" s="80"/>
    </row>
    <row r="292" s="164" customFormat="1" ht="30" spans="1:42">
      <c r="A292" s="72">
        <v>26</v>
      </c>
      <c r="B292" s="72" t="s">
        <v>21</v>
      </c>
      <c r="C292" s="72" t="s">
        <v>22</v>
      </c>
      <c r="D292" s="73">
        <v>1</v>
      </c>
      <c r="E292" s="72" t="s">
        <v>53</v>
      </c>
      <c r="F292" s="74">
        <v>5.53</v>
      </c>
      <c r="G292" s="75" t="s">
        <v>399</v>
      </c>
      <c r="H292" s="192"/>
      <c r="I292" s="66">
        <v>46058</v>
      </c>
      <c r="J292" s="204">
        <v>46134</v>
      </c>
      <c r="K292" s="205">
        <f t="shared" si="18"/>
        <v>46148</v>
      </c>
      <c r="L292" s="66">
        <v>46113</v>
      </c>
      <c r="M292" s="66">
        <v>46133</v>
      </c>
      <c r="N292" s="208">
        <v>21</v>
      </c>
      <c r="O292" s="201">
        <f t="shared" si="16"/>
        <v>116.13</v>
      </c>
      <c r="P292" s="78">
        <v>0</v>
      </c>
      <c r="Q292" s="79">
        <f t="shared" si="17"/>
        <v>0</v>
      </c>
      <c r="R292" s="206"/>
      <c r="S292" s="75"/>
      <c r="T292" s="80"/>
      <c r="U292" s="80"/>
      <c r="V292" s="80"/>
      <c r="W292" s="80"/>
      <c r="X292" s="80"/>
      <c r="Y292" s="80"/>
      <c r="Z292" s="80"/>
      <c r="AA292" s="80"/>
      <c r="AB292" s="80"/>
      <c r="AC292" s="80"/>
      <c r="AD292" s="80"/>
      <c r="AE292" s="80"/>
      <c r="AF292" s="80"/>
      <c r="AG292" s="80"/>
      <c r="AH292" s="80"/>
      <c r="AI292" s="80"/>
      <c r="AJ292" s="80"/>
      <c r="AK292" s="80"/>
      <c r="AL292" s="80"/>
      <c r="AM292" s="80"/>
      <c r="AN292" s="80"/>
      <c r="AO292" s="80"/>
      <c r="AP292" s="80"/>
    </row>
    <row r="293" s="164" customFormat="1" ht="30" spans="1:42">
      <c r="A293" s="72">
        <v>26</v>
      </c>
      <c r="B293" s="72" t="s">
        <v>21</v>
      </c>
      <c r="C293" s="72" t="s">
        <v>22</v>
      </c>
      <c r="D293" s="73">
        <v>1</v>
      </c>
      <c r="E293" s="72" t="s">
        <v>53</v>
      </c>
      <c r="F293" s="74">
        <v>5.53</v>
      </c>
      <c r="G293" s="75" t="s">
        <v>400</v>
      </c>
      <c r="H293" s="192"/>
      <c r="I293" s="66">
        <v>46058</v>
      </c>
      <c r="J293" s="204">
        <v>46134</v>
      </c>
      <c r="K293" s="205">
        <f t="shared" si="18"/>
        <v>46148</v>
      </c>
      <c r="L293" s="66">
        <v>46113</v>
      </c>
      <c r="M293" s="66">
        <v>46133</v>
      </c>
      <c r="N293" s="208">
        <v>21</v>
      </c>
      <c r="O293" s="201">
        <f t="shared" si="16"/>
        <v>116.13</v>
      </c>
      <c r="P293" s="78">
        <v>0</v>
      </c>
      <c r="Q293" s="79">
        <f t="shared" si="17"/>
        <v>0</v>
      </c>
      <c r="R293" s="206"/>
      <c r="S293" s="75"/>
      <c r="T293" s="80"/>
      <c r="U293" s="80"/>
      <c r="V293" s="80"/>
      <c r="W293" s="80"/>
      <c r="X293" s="80"/>
      <c r="Y293" s="80"/>
      <c r="Z293" s="80"/>
      <c r="AA293" s="80"/>
      <c r="AB293" s="80"/>
      <c r="AC293" s="80"/>
      <c r="AD293" s="80"/>
      <c r="AE293" s="80"/>
      <c r="AF293" s="80"/>
      <c r="AG293" s="80"/>
      <c r="AH293" s="80"/>
      <c r="AI293" s="80"/>
      <c r="AJ293" s="80"/>
      <c r="AK293" s="80"/>
      <c r="AL293" s="80"/>
      <c r="AM293" s="80"/>
      <c r="AN293" s="80"/>
      <c r="AO293" s="80"/>
      <c r="AP293" s="80"/>
    </row>
    <row r="294" s="164" customFormat="1" ht="30" spans="1:42">
      <c r="A294" s="72">
        <v>26</v>
      </c>
      <c r="B294" s="72" t="s">
        <v>21</v>
      </c>
      <c r="C294" s="72" t="s">
        <v>22</v>
      </c>
      <c r="D294" s="73">
        <v>1</v>
      </c>
      <c r="E294" s="72" t="s">
        <v>53</v>
      </c>
      <c r="F294" s="74">
        <v>5.53</v>
      </c>
      <c r="G294" s="75" t="s">
        <v>401</v>
      </c>
      <c r="H294" s="192"/>
      <c r="I294" s="66">
        <v>46058</v>
      </c>
      <c r="J294" s="204">
        <v>46134</v>
      </c>
      <c r="K294" s="205">
        <f t="shared" si="18"/>
        <v>46148</v>
      </c>
      <c r="L294" s="66">
        <v>46113</v>
      </c>
      <c r="M294" s="66">
        <v>46133</v>
      </c>
      <c r="N294" s="208">
        <v>21</v>
      </c>
      <c r="O294" s="201">
        <f t="shared" si="16"/>
        <v>116.13</v>
      </c>
      <c r="P294" s="78">
        <v>0</v>
      </c>
      <c r="Q294" s="79">
        <f t="shared" si="17"/>
        <v>0</v>
      </c>
      <c r="R294" s="206"/>
      <c r="S294" s="75" t="s">
        <v>536</v>
      </c>
      <c r="T294" s="80"/>
      <c r="U294" s="80"/>
      <c r="V294" s="80"/>
      <c r="W294" s="80"/>
      <c r="X294" s="80"/>
      <c r="Y294" s="80"/>
      <c r="Z294" s="80"/>
      <c r="AA294" s="80"/>
      <c r="AB294" s="80"/>
      <c r="AC294" s="80"/>
      <c r="AD294" s="80"/>
      <c r="AE294" s="80"/>
      <c r="AF294" s="80"/>
      <c r="AG294" s="80"/>
      <c r="AH294" s="80"/>
      <c r="AI294" s="80"/>
      <c r="AJ294" s="80"/>
      <c r="AK294" s="80"/>
      <c r="AL294" s="80"/>
      <c r="AM294" s="80"/>
      <c r="AN294" s="80"/>
      <c r="AO294" s="80"/>
      <c r="AP294" s="80"/>
    </row>
    <row r="295" s="164" customFormat="1" ht="30" spans="1:42">
      <c r="A295" s="72">
        <v>26</v>
      </c>
      <c r="B295" s="72" t="s">
        <v>21</v>
      </c>
      <c r="C295" s="72" t="s">
        <v>22</v>
      </c>
      <c r="D295" s="73">
        <v>1</v>
      </c>
      <c r="E295" s="72" t="s">
        <v>53</v>
      </c>
      <c r="F295" s="74">
        <v>5.53</v>
      </c>
      <c r="G295" s="75" t="s">
        <v>402</v>
      </c>
      <c r="H295" s="192"/>
      <c r="I295" s="66">
        <v>46058</v>
      </c>
      <c r="J295" s="204">
        <v>46134</v>
      </c>
      <c r="K295" s="205">
        <f t="shared" si="18"/>
        <v>46148</v>
      </c>
      <c r="L295" s="66">
        <v>46113</v>
      </c>
      <c r="M295" s="66">
        <v>46133</v>
      </c>
      <c r="N295" s="208">
        <v>21</v>
      </c>
      <c r="O295" s="201">
        <f t="shared" si="16"/>
        <v>116.13</v>
      </c>
      <c r="P295" s="78">
        <v>0</v>
      </c>
      <c r="Q295" s="79">
        <f t="shared" si="17"/>
        <v>0</v>
      </c>
      <c r="R295" s="206"/>
      <c r="S295" s="75"/>
      <c r="T295" s="80"/>
      <c r="U295" s="80"/>
      <c r="V295" s="80"/>
      <c r="W295" s="80"/>
      <c r="X295" s="80"/>
      <c r="Y295" s="80"/>
      <c r="Z295" s="80"/>
      <c r="AA295" s="80"/>
      <c r="AB295" s="80"/>
      <c r="AC295" s="80"/>
      <c r="AD295" s="80"/>
      <c r="AE295" s="80"/>
      <c r="AF295" s="80"/>
      <c r="AG295" s="80"/>
      <c r="AH295" s="80"/>
      <c r="AI295" s="80"/>
      <c r="AJ295" s="80"/>
      <c r="AK295" s="80"/>
      <c r="AL295" s="80"/>
      <c r="AM295" s="80"/>
      <c r="AN295" s="80"/>
      <c r="AO295" s="80"/>
      <c r="AP295" s="80"/>
    </row>
    <row r="296" s="164" customFormat="1" ht="30" spans="1:42">
      <c r="A296" s="72">
        <v>26</v>
      </c>
      <c r="B296" s="72" t="s">
        <v>21</v>
      </c>
      <c r="C296" s="72" t="s">
        <v>22</v>
      </c>
      <c r="D296" s="73">
        <v>1</v>
      </c>
      <c r="E296" s="72" t="s">
        <v>53</v>
      </c>
      <c r="F296" s="74">
        <v>5.53</v>
      </c>
      <c r="G296" s="75" t="s">
        <v>403</v>
      </c>
      <c r="H296" s="192"/>
      <c r="I296" s="66">
        <v>46058</v>
      </c>
      <c r="J296" s="204">
        <v>46134</v>
      </c>
      <c r="K296" s="205">
        <f t="shared" si="18"/>
        <v>46148</v>
      </c>
      <c r="L296" s="66">
        <v>46113</v>
      </c>
      <c r="M296" s="66">
        <v>46133</v>
      </c>
      <c r="N296" s="208">
        <v>21</v>
      </c>
      <c r="O296" s="201">
        <f t="shared" si="16"/>
        <v>116.13</v>
      </c>
      <c r="P296" s="78">
        <v>0</v>
      </c>
      <c r="Q296" s="79">
        <f t="shared" si="17"/>
        <v>0</v>
      </c>
      <c r="R296" s="206"/>
      <c r="S296" s="75"/>
      <c r="T296" s="80"/>
      <c r="U296" s="80"/>
      <c r="V296" s="80"/>
      <c r="W296" s="80"/>
      <c r="X296" s="80"/>
      <c r="Y296" s="80"/>
      <c r="Z296" s="80"/>
      <c r="AA296" s="80"/>
      <c r="AB296" s="80"/>
      <c r="AC296" s="80"/>
      <c r="AD296" s="80"/>
      <c r="AE296" s="80"/>
      <c r="AF296" s="80"/>
      <c r="AG296" s="80"/>
      <c r="AH296" s="80"/>
      <c r="AI296" s="80"/>
      <c r="AJ296" s="80"/>
      <c r="AK296" s="80"/>
      <c r="AL296" s="80"/>
      <c r="AM296" s="80"/>
      <c r="AN296" s="80"/>
      <c r="AO296" s="80"/>
      <c r="AP296" s="80"/>
    </row>
    <row r="297" s="164" customFormat="1" ht="30" spans="1:42">
      <c r="A297" s="72">
        <v>26</v>
      </c>
      <c r="B297" s="72" t="s">
        <v>21</v>
      </c>
      <c r="C297" s="72" t="s">
        <v>22</v>
      </c>
      <c r="D297" s="73">
        <v>1</v>
      </c>
      <c r="E297" s="72" t="s">
        <v>53</v>
      </c>
      <c r="F297" s="74">
        <v>5.53</v>
      </c>
      <c r="G297" s="75" t="s">
        <v>404</v>
      </c>
      <c r="H297" s="192"/>
      <c r="I297" s="66">
        <v>46058</v>
      </c>
      <c r="J297" s="204">
        <v>46134</v>
      </c>
      <c r="K297" s="205">
        <f t="shared" si="18"/>
        <v>46148</v>
      </c>
      <c r="L297" s="66">
        <v>46113</v>
      </c>
      <c r="M297" s="66">
        <v>46133</v>
      </c>
      <c r="N297" s="208">
        <v>21</v>
      </c>
      <c r="O297" s="201">
        <f t="shared" si="16"/>
        <v>116.13</v>
      </c>
      <c r="P297" s="78">
        <v>0</v>
      </c>
      <c r="Q297" s="79">
        <f t="shared" si="17"/>
        <v>0</v>
      </c>
      <c r="R297" s="206"/>
      <c r="S297" s="75"/>
      <c r="T297" s="80"/>
      <c r="U297" s="80"/>
      <c r="V297" s="80"/>
      <c r="W297" s="80"/>
      <c r="X297" s="80"/>
      <c r="Y297" s="80"/>
      <c r="Z297" s="80"/>
      <c r="AA297" s="80"/>
      <c r="AB297" s="80"/>
      <c r="AC297" s="80"/>
      <c r="AD297" s="80"/>
      <c r="AE297" s="80"/>
      <c r="AF297" s="80"/>
      <c r="AG297" s="80"/>
      <c r="AH297" s="80"/>
      <c r="AI297" s="80"/>
      <c r="AJ297" s="80"/>
      <c r="AK297" s="80"/>
      <c r="AL297" s="80"/>
      <c r="AM297" s="80"/>
      <c r="AN297" s="80"/>
      <c r="AO297" s="80"/>
      <c r="AP297" s="80"/>
    </row>
    <row r="298" s="1" customFormat="1" ht="30" spans="1:42">
      <c r="A298" s="27">
        <v>26</v>
      </c>
      <c r="B298" s="27" t="s">
        <v>21</v>
      </c>
      <c r="C298" s="27" t="s">
        <v>22</v>
      </c>
      <c r="D298" s="29">
        <v>1</v>
      </c>
      <c r="E298" s="27" t="s">
        <v>53</v>
      </c>
      <c r="F298" s="28">
        <v>5.53</v>
      </c>
      <c r="G298" s="37" t="s">
        <v>456</v>
      </c>
      <c r="H298" s="34"/>
      <c r="I298" s="209">
        <v>46099</v>
      </c>
      <c r="J298" s="30"/>
      <c r="K298" s="200">
        <f t="shared" si="18"/>
        <v>46189</v>
      </c>
      <c r="L298" s="30">
        <v>46113</v>
      </c>
      <c r="M298" s="30">
        <v>46142</v>
      </c>
      <c r="N298" s="32">
        <v>30</v>
      </c>
      <c r="O298" s="201">
        <f t="shared" si="16"/>
        <v>165.9</v>
      </c>
      <c r="P298" s="40">
        <v>0</v>
      </c>
      <c r="Q298" s="33">
        <f t="shared" si="17"/>
        <v>0</v>
      </c>
      <c r="R298" s="34"/>
      <c r="S298" s="37" t="s">
        <v>537</v>
      </c>
    </row>
    <row r="299" s="1" customFormat="1" ht="30" spans="1:42">
      <c r="A299" s="27">
        <v>26</v>
      </c>
      <c r="B299" s="27" t="s">
        <v>21</v>
      </c>
      <c r="C299" s="27" t="s">
        <v>22</v>
      </c>
      <c r="D299" s="29">
        <v>1</v>
      </c>
      <c r="E299" s="27" t="s">
        <v>53</v>
      </c>
      <c r="F299" s="28">
        <v>5.53</v>
      </c>
      <c r="G299" s="37" t="s">
        <v>457</v>
      </c>
      <c r="H299" s="34"/>
      <c r="I299" s="209">
        <v>46099</v>
      </c>
      <c r="J299" s="30"/>
      <c r="K299" s="200">
        <f t="shared" si="18"/>
        <v>46189</v>
      </c>
      <c r="L299" s="30">
        <v>46113</v>
      </c>
      <c r="M299" s="30">
        <v>46142</v>
      </c>
      <c r="N299" s="32">
        <v>30</v>
      </c>
      <c r="O299" s="201">
        <f t="shared" si="16"/>
        <v>165.9</v>
      </c>
      <c r="P299" s="40">
        <v>0</v>
      </c>
      <c r="Q299" s="33">
        <f t="shared" si="17"/>
        <v>0</v>
      </c>
      <c r="R299" s="34"/>
      <c r="S299" s="37" t="s">
        <v>538</v>
      </c>
    </row>
    <row r="300" s="1" customFormat="1" ht="30" spans="1:42">
      <c r="A300" s="27">
        <v>26</v>
      </c>
      <c r="B300" s="27" t="s">
        <v>21</v>
      </c>
      <c r="C300" s="27" t="s">
        <v>22</v>
      </c>
      <c r="D300" s="29">
        <v>1</v>
      </c>
      <c r="E300" s="27" t="s">
        <v>53</v>
      </c>
      <c r="F300" s="28">
        <v>5.53</v>
      </c>
      <c r="G300" s="37" t="s">
        <v>458</v>
      </c>
      <c r="H300" s="34"/>
      <c r="I300" s="209">
        <v>46099</v>
      </c>
      <c r="J300" s="30"/>
      <c r="K300" s="200">
        <f t="shared" si="18"/>
        <v>46189</v>
      </c>
      <c r="L300" s="30">
        <v>46113</v>
      </c>
      <c r="M300" s="30">
        <v>46142</v>
      </c>
      <c r="N300" s="32">
        <v>30</v>
      </c>
      <c r="O300" s="201">
        <f t="shared" si="16"/>
        <v>165.9</v>
      </c>
      <c r="P300" s="40">
        <v>0</v>
      </c>
      <c r="Q300" s="33">
        <f t="shared" si="17"/>
        <v>0</v>
      </c>
      <c r="R300" s="34"/>
      <c r="S300" s="37" t="s">
        <v>539</v>
      </c>
    </row>
    <row r="301" s="1" customFormat="1" ht="30" spans="1:42">
      <c r="A301" s="27">
        <v>26</v>
      </c>
      <c r="B301" s="27" t="s">
        <v>21</v>
      </c>
      <c r="C301" s="27" t="s">
        <v>22</v>
      </c>
      <c r="D301" s="29">
        <v>1</v>
      </c>
      <c r="E301" s="27" t="s">
        <v>53</v>
      </c>
      <c r="F301" s="28">
        <v>5.53</v>
      </c>
      <c r="G301" s="37" t="s">
        <v>459</v>
      </c>
      <c r="H301" s="34"/>
      <c r="I301" s="209">
        <v>46099</v>
      </c>
      <c r="J301" s="30"/>
      <c r="K301" s="200">
        <f t="shared" si="18"/>
        <v>46189</v>
      </c>
      <c r="L301" s="30">
        <v>46113</v>
      </c>
      <c r="M301" s="30">
        <v>46142</v>
      </c>
      <c r="N301" s="32">
        <v>30</v>
      </c>
      <c r="O301" s="201">
        <f t="shared" si="16"/>
        <v>165.9</v>
      </c>
      <c r="P301" s="40">
        <v>0</v>
      </c>
      <c r="Q301" s="33">
        <f t="shared" si="17"/>
        <v>0</v>
      </c>
      <c r="R301" s="34"/>
      <c r="S301" s="37" t="s">
        <v>540</v>
      </c>
    </row>
    <row r="302" s="1" customFormat="1" ht="30" spans="1:42">
      <c r="A302" s="27">
        <v>26</v>
      </c>
      <c r="B302" s="27" t="s">
        <v>21</v>
      </c>
      <c r="C302" s="27" t="s">
        <v>22</v>
      </c>
      <c r="D302" s="29">
        <v>1</v>
      </c>
      <c r="E302" s="27" t="s">
        <v>53</v>
      </c>
      <c r="F302" s="28">
        <v>5.53</v>
      </c>
      <c r="G302" s="37" t="s">
        <v>460</v>
      </c>
      <c r="H302" s="34"/>
      <c r="I302" s="209">
        <v>46099</v>
      </c>
      <c r="J302" s="30"/>
      <c r="K302" s="200">
        <f t="shared" si="18"/>
        <v>46189</v>
      </c>
      <c r="L302" s="30">
        <v>46113</v>
      </c>
      <c r="M302" s="30">
        <v>46142</v>
      </c>
      <c r="N302" s="32">
        <v>30</v>
      </c>
      <c r="O302" s="201">
        <f t="shared" si="16"/>
        <v>165.9</v>
      </c>
      <c r="P302" s="40">
        <v>0</v>
      </c>
      <c r="Q302" s="33">
        <f t="shared" si="17"/>
        <v>0</v>
      </c>
      <c r="R302" s="34"/>
      <c r="S302" s="37" t="s">
        <v>541</v>
      </c>
    </row>
    <row r="303" s="1" customFormat="1" ht="30" spans="1:42">
      <c r="A303" s="27">
        <v>26</v>
      </c>
      <c r="B303" s="27" t="s">
        <v>21</v>
      </c>
      <c r="C303" s="27" t="s">
        <v>22</v>
      </c>
      <c r="D303" s="29">
        <v>1</v>
      </c>
      <c r="E303" s="27" t="s">
        <v>53</v>
      </c>
      <c r="F303" s="28">
        <v>5.53</v>
      </c>
      <c r="G303" s="37" t="s">
        <v>461</v>
      </c>
      <c r="H303" s="34"/>
      <c r="I303" s="209">
        <v>46099</v>
      </c>
      <c r="J303" s="30"/>
      <c r="K303" s="200">
        <f t="shared" si="18"/>
        <v>46189</v>
      </c>
      <c r="L303" s="30">
        <v>46113</v>
      </c>
      <c r="M303" s="30">
        <v>46142</v>
      </c>
      <c r="N303" s="32">
        <v>30</v>
      </c>
      <c r="O303" s="201">
        <f t="shared" si="16"/>
        <v>165.9</v>
      </c>
      <c r="P303" s="40">
        <v>0</v>
      </c>
      <c r="Q303" s="33">
        <f t="shared" si="17"/>
        <v>0</v>
      </c>
      <c r="R303" s="34"/>
      <c r="S303" s="37" t="s">
        <v>542</v>
      </c>
    </row>
    <row r="304" s="1" customFormat="1" ht="30" spans="1:42">
      <c r="A304" s="27">
        <v>26</v>
      </c>
      <c r="B304" s="27" t="s">
        <v>21</v>
      </c>
      <c r="C304" s="27" t="s">
        <v>22</v>
      </c>
      <c r="D304" s="29">
        <v>1</v>
      </c>
      <c r="E304" s="27" t="s">
        <v>53</v>
      </c>
      <c r="F304" s="28">
        <v>5.53</v>
      </c>
      <c r="G304" s="37" t="s">
        <v>512</v>
      </c>
      <c r="H304" s="34"/>
      <c r="I304" s="209">
        <v>46126</v>
      </c>
      <c r="J304" s="30"/>
      <c r="K304" s="200">
        <f t="shared" si="18"/>
        <v>46216</v>
      </c>
      <c r="L304" s="30">
        <v>46113</v>
      </c>
      <c r="M304" s="30">
        <v>46142</v>
      </c>
      <c r="N304" s="32">
        <v>30</v>
      </c>
      <c r="O304" s="201">
        <f t="shared" si="16"/>
        <v>165.9</v>
      </c>
      <c r="P304" s="40">
        <v>0</v>
      </c>
      <c r="Q304" s="33">
        <f t="shared" si="17"/>
        <v>0</v>
      </c>
      <c r="R304" s="34"/>
      <c r="S304" s="37"/>
    </row>
    <row r="305" s="1" customFormat="1" ht="30" spans="1:42">
      <c r="A305" s="27">
        <v>26</v>
      </c>
      <c r="B305" s="27" t="s">
        <v>21</v>
      </c>
      <c r="C305" s="27" t="s">
        <v>22</v>
      </c>
      <c r="D305" s="29">
        <v>1</v>
      </c>
      <c r="E305" s="27" t="s">
        <v>53</v>
      </c>
      <c r="F305" s="28">
        <v>5.53</v>
      </c>
      <c r="G305" s="37" t="s">
        <v>513</v>
      </c>
      <c r="H305" s="34"/>
      <c r="I305" s="209">
        <v>46126</v>
      </c>
      <c r="J305" s="30"/>
      <c r="K305" s="200">
        <f t="shared" si="18"/>
        <v>46216</v>
      </c>
      <c r="L305" s="30">
        <v>46113</v>
      </c>
      <c r="M305" s="30">
        <v>46142</v>
      </c>
      <c r="N305" s="32">
        <v>30</v>
      </c>
      <c r="O305" s="201">
        <f t="shared" si="16"/>
        <v>165.9</v>
      </c>
      <c r="P305" s="40">
        <v>0</v>
      </c>
      <c r="Q305" s="33">
        <f t="shared" si="17"/>
        <v>0</v>
      </c>
      <c r="R305" s="34"/>
      <c r="S305" s="37"/>
    </row>
    <row r="306" s="21" customFormat="1" ht="35" customHeight="1" spans="1:42">
      <c r="A306" s="29" t="s">
        <v>126</v>
      </c>
      <c r="B306" s="29"/>
      <c r="C306" s="29"/>
      <c r="D306" s="29">
        <f>SUM(D199:D305)</f>
        <v>107</v>
      </c>
      <c r="E306" s="29" t="s">
        <v>127</v>
      </c>
      <c r="F306" s="29"/>
      <c r="G306" s="29"/>
      <c r="H306" s="29"/>
      <c r="I306" s="29"/>
      <c r="J306" s="29"/>
      <c r="K306" s="29"/>
      <c r="L306" s="29"/>
      <c r="M306" s="29"/>
      <c r="N306" s="32"/>
      <c r="O306" s="33">
        <f>SUM(O199:O305)</f>
        <v>16009.35</v>
      </c>
      <c r="P306" s="32"/>
      <c r="Q306" s="33">
        <f>SUM(Q199:Q305)</f>
        <v>7974.25999999999</v>
      </c>
      <c r="R306" s="32"/>
      <c r="S306" s="32"/>
    </row>
    <row r="307" s="58" customFormat="1" spans="1:42">
      <c r="A307" s="210"/>
      <c r="B307" s="210"/>
      <c r="C307" s="210"/>
      <c r="D307" s="210"/>
      <c r="E307" s="210"/>
      <c r="F307" s="210"/>
      <c r="G307" s="210"/>
      <c r="H307" s="210"/>
      <c r="I307" s="210"/>
      <c r="J307" s="210"/>
      <c r="K307" s="210"/>
      <c r="L307" s="210"/>
      <c r="M307" s="210"/>
      <c r="N307" s="211"/>
      <c r="O307" s="212"/>
      <c r="P307" s="213"/>
    </row>
    <row r="308" s="58" customFormat="1" spans="1:42">
      <c r="A308" s="21"/>
      <c r="B308" s="21"/>
      <c r="C308" s="21"/>
      <c r="D308" s="21"/>
      <c r="E308" s="21"/>
      <c r="F308" s="21"/>
      <c r="G308" s="21"/>
      <c r="H308" s="21"/>
      <c r="I308" s="21"/>
      <c r="J308" s="21"/>
      <c r="K308" s="21"/>
      <c r="L308" s="21"/>
      <c r="M308" s="21"/>
      <c r="N308" s="214"/>
      <c r="O308" s="1"/>
      <c r="P308" s="1"/>
    </row>
    <row r="309" s="58" customFormat="1" ht="22.85" spans="1:42">
      <c r="A309" s="61" t="s">
        <v>543</v>
      </c>
      <c r="B309" s="61"/>
      <c r="C309" s="61"/>
      <c r="D309" s="61"/>
      <c r="E309" s="61"/>
      <c r="F309" s="61"/>
      <c r="G309" s="61"/>
      <c r="H309" s="61"/>
      <c r="I309" s="61"/>
      <c r="J309" s="61"/>
      <c r="K309" s="61"/>
      <c r="L309" s="61"/>
      <c r="M309" s="61"/>
      <c r="N309" s="61"/>
      <c r="O309" s="1"/>
      <c r="P309" s="1"/>
    </row>
    <row r="310" s="58" customFormat="1" ht="31.5" spans="1:42">
      <c r="A310" s="68" t="s">
        <v>16</v>
      </c>
      <c r="B310" s="68" t="s">
        <v>17</v>
      </c>
      <c r="C310" s="68" t="s">
        <v>18</v>
      </c>
      <c r="D310" s="68" t="s">
        <v>65</v>
      </c>
      <c r="E310" s="68" t="s">
        <v>46</v>
      </c>
      <c r="F310" s="68" t="s">
        <v>66</v>
      </c>
      <c r="G310" s="68" t="s">
        <v>67</v>
      </c>
      <c r="H310" s="70" t="s">
        <v>67</v>
      </c>
      <c r="I310" s="70" t="s">
        <v>43</v>
      </c>
      <c r="J310" s="70" t="s">
        <v>68</v>
      </c>
      <c r="K310" s="70" t="s">
        <v>69</v>
      </c>
      <c r="L310" s="70" t="s">
        <v>70</v>
      </c>
      <c r="M310" s="70" t="s">
        <v>71</v>
      </c>
      <c r="N310" s="102" t="s">
        <v>72</v>
      </c>
      <c r="O310" s="102" t="s">
        <v>73</v>
      </c>
      <c r="P310" s="70" t="s">
        <v>74</v>
      </c>
      <c r="Q310" s="68" t="s">
        <v>75</v>
      </c>
    </row>
    <row r="311" s="58" customFormat="1" ht="29" customHeight="1" spans="1:42">
      <c r="A311" s="215">
        <v>2</v>
      </c>
      <c r="B311" s="215" t="s">
        <v>25</v>
      </c>
      <c r="C311" s="215" t="s">
        <v>35</v>
      </c>
      <c r="D311" s="215">
        <v>1</v>
      </c>
      <c r="E311" s="215" t="s">
        <v>53</v>
      </c>
      <c r="F311" s="216">
        <v>415.74</v>
      </c>
      <c r="G311" s="217" t="s">
        <v>503</v>
      </c>
      <c r="H311" s="217"/>
      <c r="I311" s="218">
        <v>46126</v>
      </c>
      <c r="J311" s="219"/>
      <c r="K311" s="219">
        <f t="shared" ref="K311:K325" si="19">I311+90</f>
        <v>46216</v>
      </c>
      <c r="L311" s="219">
        <v>46113</v>
      </c>
      <c r="M311" s="219">
        <v>46142</v>
      </c>
      <c r="N311" s="217">
        <v>30</v>
      </c>
      <c r="O311" s="220">
        <f t="shared" ref="O311:O325" si="20">N311*F311*D311</f>
        <v>12472.2</v>
      </c>
      <c r="P311" s="221">
        <v>0</v>
      </c>
      <c r="Q311" s="222">
        <v>0</v>
      </c>
    </row>
    <row r="312" s="167" customFormat="1" ht="29" customHeight="1" spans="1:42">
      <c r="A312" s="215">
        <v>2</v>
      </c>
      <c r="B312" s="215" t="s">
        <v>25</v>
      </c>
      <c r="C312" s="215" t="s">
        <v>35</v>
      </c>
      <c r="D312" s="215">
        <v>1</v>
      </c>
      <c r="E312" s="215" t="s">
        <v>53</v>
      </c>
      <c r="F312" s="216">
        <v>415.74</v>
      </c>
      <c r="G312" s="217" t="s">
        <v>493</v>
      </c>
      <c r="H312" s="223"/>
      <c r="I312" s="218">
        <v>46126</v>
      </c>
      <c r="J312" s="219"/>
      <c r="K312" s="219">
        <f t="shared" si="19"/>
        <v>46216</v>
      </c>
      <c r="L312" s="219">
        <v>46113</v>
      </c>
      <c r="M312" s="219">
        <v>46142</v>
      </c>
      <c r="N312" s="217">
        <v>30</v>
      </c>
      <c r="O312" s="220">
        <f t="shared" si="20"/>
        <v>12472.2</v>
      </c>
      <c r="P312" s="221">
        <v>0</v>
      </c>
      <c r="Q312" s="222">
        <v>0</v>
      </c>
      <c r="R312" s="224"/>
      <c r="S312" s="224"/>
      <c r="T312" s="224"/>
      <c r="U312" s="224"/>
      <c r="V312" s="224"/>
      <c r="W312" s="224"/>
      <c r="X312" s="224"/>
      <c r="Y312" s="224"/>
      <c r="Z312" s="224"/>
      <c r="AA312" s="224"/>
      <c r="AB312" s="224"/>
      <c r="AC312" s="224"/>
      <c r="AD312" s="224"/>
      <c r="AE312" s="224"/>
      <c r="AF312" s="224"/>
      <c r="AG312" s="224"/>
      <c r="AH312" s="224"/>
      <c r="AI312" s="224"/>
      <c r="AJ312" s="224"/>
      <c r="AK312" s="224"/>
      <c r="AL312" s="224"/>
      <c r="AM312" s="224"/>
      <c r="AN312" s="224"/>
      <c r="AO312" s="224"/>
      <c r="AP312" s="224"/>
    </row>
    <row r="313" s="167" customFormat="1" ht="29" customHeight="1" spans="1:42">
      <c r="A313" s="215">
        <v>2</v>
      </c>
      <c r="B313" s="215" t="s">
        <v>25</v>
      </c>
      <c r="C313" s="215" t="s">
        <v>35</v>
      </c>
      <c r="D313" s="215">
        <v>1</v>
      </c>
      <c r="E313" s="215" t="s">
        <v>53</v>
      </c>
      <c r="F313" s="216">
        <v>415.74</v>
      </c>
      <c r="G313" s="217" t="s">
        <v>494</v>
      </c>
      <c r="H313" s="223"/>
      <c r="I313" s="218">
        <v>46126</v>
      </c>
      <c r="J313" s="219"/>
      <c r="K313" s="219">
        <f t="shared" si="19"/>
        <v>46216</v>
      </c>
      <c r="L313" s="219">
        <v>46113</v>
      </c>
      <c r="M313" s="219">
        <v>46142</v>
      </c>
      <c r="N313" s="217">
        <v>30</v>
      </c>
      <c r="O313" s="220">
        <f t="shared" si="20"/>
        <v>12472.2</v>
      </c>
      <c r="P313" s="221">
        <v>0</v>
      </c>
      <c r="Q313" s="222">
        <v>0</v>
      </c>
      <c r="R313" s="224"/>
      <c r="S313" s="224"/>
      <c r="T313" s="224"/>
      <c r="U313" s="224"/>
      <c r="V313" s="224"/>
      <c r="W313" s="224"/>
      <c r="X313" s="224"/>
      <c r="Y313" s="224"/>
      <c r="Z313" s="224"/>
      <c r="AA313" s="224"/>
      <c r="AB313" s="224"/>
      <c r="AC313" s="224"/>
      <c r="AD313" s="224"/>
      <c r="AE313" s="224"/>
      <c r="AF313" s="224"/>
      <c r="AG313" s="224"/>
      <c r="AH313" s="224"/>
      <c r="AI313" s="224"/>
      <c r="AJ313" s="224"/>
      <c r="AK313" s="224"/>
      <c r="AL313" s="224"/>
      <c r="AM313" s="224"/>
      <c r="AN313" s="224"/>
      <c r="AO313" s="224"/>
      <c r="AP313" s="224"/>
    </row>
    <row r="314" s="167" customFormat="1" ht="29" customHeight="1" spans="1:42">
      <c r="A314" s="215">
        <v>2</v>
      </c>
      <c r="B314" s="215" t="s">
        <v>25</v>
      </c>
      <c r="C314" s="215" t="s">
        <v>35</v>
      </c>
      <c r="D314" s="215">
        <v>1</v>
      </c>
      <c r="E314" s="215" t="s">
        <v>53</v>
      </c>
      <c r="F314" s="216">
        <v>415.74</v>
      </c>
      <c r="G314" s="217" t="s">
        <v>495</v>
      </c>
      <c r="H314" s="223"/>
      <c r="I314" s="218">
        <v>46126</v>
      </c>
      <c r="J314" s="219"/>
      <c r="K314" s="219">
        <f t="shared" si="19"/>
        <v>46216</v>
      </c>
      <c r="L314" s="219">
        <v>46113</v>
      </c>
      <c r="M314" s="219">
        <v>46142</v>
      </c>
      <c r="N314" s="217">
        <v>30</v>
      </c>
      <c r="O314" s="220">
        <f t="shared" si="20"/>
        <v>12472.2</v>
      </c>
      <c r="P314" s="221">
        <v>0</v>
      </c>
      <c r="Q314" s="222">
        <v>0</v>
      </c>
      <c r="R314" s="224"/>
      <c r="S314" s="224"/>
      <c r="T314" s="224"/>
      <c r="U314" s="224"/>
      <c r="V314" s="224"/>
      <c r="W314" s="224"/>
      <c r="X314" s="224"/>
      <c r="Y314" s="224"/>
      <c r="Z314" s="224"/>
      <c r="AA314" s="224"/>
      <c r="AB314" s="224"/>
      <c r="AC314" s="224"/>
      <c r="AD314" s="224"/>
      <c r="AE314" s="224"/>
      <c r="AF314" s="224"/>
      <c r="AG314" s="224"/>
      <c r="AH314" s="224"/>
      <c r="AI314" s="224"/>
      <c r="AJ314" s="224"/>
      <c r="AK314" s="224"/>
      <c r="AL314" s="224"/>
      <c r="AM314" s="224"/>
      <c r="AN314" s="224"/>
      <c r="AO314" s="224"/>
      <c r="AP314" s="224"/>
    </row>
    <row r="315" s="167" customFormat="1" ht="29" customHeight="1" spans="1:42">
      <c r="A315" s="215">
        <v>2</v>
      </c>
      <c r="B315" s="215" t="s">
        <v>25</v>
      </c>
      <c r="C315" s="215" t="s">
        <v>35</v>
      </c>
      <c r="D315" s="215">
        <v>1</v>
      </c>
      <c r="E315" s="215" t="s">
        <v>53</v>
      </c>
      <c r="F315" s="216">
        <v>415.74</v>
      </c>
      <c r="G315" s="217" t="s">
        <v>496</v>
      </c>
      <c r="H315" s="223"/>
      <c r="I315" s="218">
        <v>46126</v>
      </c>
      <c r="J315" s="219"/>
      <c r="K315" s="219">
        <f t="shared" si="19"/>
        <v>46216</v>
      </c>
      <c r="L315" s="219">
        <v>46113</v>
      </c>
      <c r="M315" s="219">
        <v>46142</v>
      </c>
      <c r="N315" s="217">
        <v>30</v>
      </c>
      <c r="O315" s="220">
        <f t="shared" si="20"/>
        <v>12472.2</v>
      </c>
      <c r="P315" s="221">
        <v>0</v>
      </c>
      <c r="Q315" s="222">
        <v>0</v>
      </c>
      <c r="R315" s="224"/>
      <c r="S315" s="224"/>
      <c r="T315" s="224"/>
      <c r="U315" s="224"/>
      <c r="V315" s="224"/>
      <c r="W315" s="224"/>
      <c r="X315" s="224"/>
      <c r="Y315" s="224"/>
      <c r="Z315" s="224"/>
      <c r="AA315" s="224"/>
      <c r="AB315" s="224"/>
      <c r="AC315" s="224"/>
      <c r="AD315" s="224"/>
      <c r="AE315" s="224"/>
      <c r="AF315" s="224"/>
      <c r="AG315" s="224"/>
      <c r="AH315" s="224"/>
      <c r="AI315" s="224"/>
      <c r="AJ315" s="224"/>
      <c r="AK315" s="224"/>
      <c r="AL315" s="224"/>
      <c r="AM315" s="224"/>
      <c r="AN315" s="224"/>
      <c r="AO315" s="224"/>
      <c r="AP315" s="224"/>
    </row>
    <row r="316" s="167" customFormat="1" ht="29" customHeight="1" spans="1:42">
      <c r="A316" s="215">
        <v>2</v>
      </c>
      <c r="B316" s="215" t="s">
        <v>25</v>
      </c>
      <c r="C316" s="215" t="s">
        <v>35</v>
      </c>
      <c r="D316" s="215">
        <v>1</v>
      </c>
      <c r="E316" s="215" t="s">
        <v>53</v>
      </c>
      <c r="F316" s="216">
        <v>415.74</v>
      </c>
      <c r="G316" s="217" t="s">
        <v>497</v>
      </c>
      <c r="H316" s="223"/>
      <c r="I316" s="218">
        <v>46126</v>
      </c>
      <c r="J316" s="219"/>
      <c r="K316" s="219">
        <f t="shared" si="19"/>
        <v>46216</v>
      </c>
      <c r="L316" s="219">
        <v>46113</v>
      </c>
      <c r="M316" s="219">
        <v>46142</v>
      </c>
      <c r="N316" s="217">
        <v>30</v>
      </c>
      <c r="O316" s="220">
        <f t="shared" si="20"/>
        <v>12472.2</v>
      </c>
      <c r="P316" s="221">
        <v>0</v>
      </c>
      <c r="Q316" s="222">
        <v>0</v>
      </c>
      <c r="R316" s="224"/>
      <c r="S316" s="224"/>
      <c r="T316" s="224"/>
      <c r="U316" s="224"/>
      <c r="V316" s="224"/>
      <c r="W316" s="224"/>
      <c r="X316" s="224"/>
      <c r="Y316" s="224"/>
      <c r="Z316" s="224"/>
      <c r="AA316" s="224"/>
      <c r="AB316" s="224"/>
      <c r="AC316" s="224"/>
      <c r="AD316" s="224"/>
      <c r="AE316" s="224"/>
      <c r="AF316" s="224"/>
      <c r="AG316" s="224"/>
      <c r="AH316" s="224"/>
      <c r="AI316" s="224"/>
      <c r="AJ316" s="224"/>
      <c r="AK316" s="224"/>
      <c r="AL316" s="224"/>
      <c r="AM316" s="224"/>
      <c r="AN316" s="224"/>
      <c r="AO316" s="224"/>
      <c r="AP316" s="224"/>
    </row>
    <row r="317" s="167" customFormat="1" ht="29" customHeight="1" spans="1:42">
      <c r="A317" s="215">
        <v>2</v>
      </c>
      <c r="B317" s="215" t="s">
        <v>25</v>
      </c>
      <c r="C317" s="215" t="s">
        <v>35</v>
      </c>
      <c r="D317" s="215">
        <v>1</v>
      </c>
      <c r="E317" s="215" t="s">
        <v>53</v>
      </c>
      <c r="F317" s="216">
        <v>415.74</v>
      </c>
      <c r="G317" s="217" t="s">
        <v>498</v>
      </c>
      <c r="H317" s="223"/>
      <c r="I317" s="218">
        <v>46126</v>
      </c>
      <c r="J317" s="219"/>
      <c r="K317" s="219">
        <f t="shared" si="19"/>
        <v>46216</v>
      </c>
      <c r="L317" s="219">
        <v>46113</v>
      </c>
      <c r="M317" s="219">
        <v>46142</v>
      </c>
      <c r="N317" s="217">
        <v>30</v>
      </c>
      <c r="O317" s="220">
        <f t="shared" si="20"/>
        <v>12472.2</v>
      </c>
      <c r="P317" s="221">
        <v>0</v>
      </c>
      <c r="Q317" s="222">
        <v>0</v>
      </c>
      <c r="R317" s="224"/>
      <c r="S317" s="224"/>
      <c r="T317" s="224"/>
      <c r="U317" s="224"/>
      <c r="V317" s="224"/>
      <c r="W317" s="224"/>
      <c r="X317" s="224"/>
      <c r="Y317" s="224"/>
      <c r="Z317" s="224"/>
      <c r="AA317" s="224"/>
      <c r="AB317" s="224"/>
      <c r="AC317" s="224"/>
      <c r="AD317" s="224"/>
      <c r="AE317" s="224"/>
      <c r="AF317" s="224"/>
      <c r="AG317" s="224"/>
      <c r="AH317" s="224"/>
      <c r="AI317" s="224"/>
      <c r="AJ317" s="224"/>
      <c r="AK317" s="224"/>
      <c r="AL317" s="224"/>
      <c r="AM317" s="224"/>
      <c r="AN317" s="224"/>
      <c r="AO317" s="224"/>
      <c r="AP317" s="224"/>
    </row>
    <row r="318" s="167" customFormat="1" ht="29" customHeight="1" spans="1:42">
      <c r="A318" s="215">
        <v>2</v>
      </c>
      <c r="B318" s="215" t="s">
        <v>25</v>
      </c>
      <c r="C318" s="215" t="s">
        <v>35</v>
      </c>
      <c r="D318" s="215">
        <v>1</v>
      </c>
      <c r="E318" s="215" t="s">
        <v>53</v>
      </c>
      <c r="F318" s="216">
        <v>415.74</v>
      </c>
      <c r="G318" s="217" t="s">
        <v>499</v>
      </c>
      <c r="H318" s="223"/>
      <c r="I318" s="218">
        <v>46126</v>
      </c>
      <c r="J318" s="219"/>
      <c r="K318" s="219">
        <f t="shared" si="19"/>
        <v>46216</v>
      </c>
      <c r="L318" s="219">
        <v>46113</v>
      </c>
      <c r="M318" s="219">
        <v>46142</v>
      </c>
      <c r="N318" s="217">
        <v>30</v>
      </c>
      <c r="O318" s="220">
        <f t="shared" si="20"/>
        <v>12472.2</v>
      </c>
      <c r="P318" s="221">
        <v>0</v>
      </c>
      <c r="Q318" s="222">
        <v>0</v>
      </c>
      <c r="R318" s="224"/>
      <c r="S318" s="224"/>
      <c r="T318" s="224"/>
      <c r="U318" s="224"/>
      <c r="V318" s="224"/>
      <c r="W318" s="224"/>
      <c r="X318" s="224"/>
      <c r="Y318" s="224"/>
      <c r="Z318" s="224"/>
      <c r="AA318" s="224"/>
      <c r="AB318" s="224"/>
      <c r="AC318" s="224"/>
      <c r="AD318" s="224"/>
      <c r="AE318" s="224"/>
      <c r="AF318" s="224"/>
      <c r="AG318" s="224"/>
      <c r="AH318" s="224"/>
      <c r="AI318" s="224"/>
      <c r="AJ318" s="224"/>
      <c r="AK318" s="224"/>
      <c r="AL318" s="224"/>
      <c r="AM318" s="224"/>
      <c r="AN318" s="224"/>
      <c r="AO318" s="224"/>
      <c r="AP318" s="224"/>
    </row>
    <row r="319" s="167" customFormat="1" ht="29" customHeight="1" spans="1:42">
      <c r="A319" s="215">
        <v>2</v>
      </c>
      <c r="B319" s="215" t="s">
        <v>25</v>
      </c>
      <c r="C319" s="215" t="s">
        <v>35</v>
      </c>
      <c r="D319" s="215">
        <v>1</v>
      </c>
      <c r="E319" s="215" t="s">
        <v>53</v>
      </c>
      <c r="F319" s="216">
        <v>415.74</v>
      </c>
      <c r="G319" s="217" t="s">
        <v>500</v>
      </c>
      <c r="H319" s="223"/>
      <c r="I319" s="218">
        <v>46126</v>
      </c>
      <c r="J319" s="219"/>
      <c r="K319" s="219">
        <f t="shared" si="19"/>
        <v>46216</v>
      </c>
      <c r="L319" s="219">
        <v>46113</v>
      </c>
      <c r="M319" s="219">
        <v>46142</v>
      </c>
      <c r="N319" s="217">
        <v>30</v>
      </c>
      <c r="O319" s="220">
        <f t="shared" si="20"/>
        <v>12472.2</v>
      </c>
      <c r="P319" s="221">
        <v>0</v>
      </c>
      <c r="Q319" s="222">
        <v>0</v>
      </c>
      <c r="R319" s="224"/>
      <c r="S319" s="224"/>
      <c r="T319" s="224"/>
      <c r="U319" s="224"/>
      <c r="V319" s="224"/>
      <c r="W319" s="224"/>
      <c r="X319" s="224"/>
      <c r="Y319" s="224"/>
      <c r="Z319" s="224"/>
      <c r="AA319" s="224"/>
      <c r="AB319" s="224"/>
      <c r="AC319" s="224"/>
      <c r="AD319" s="224"/>
      <c r="AE319" s="224"/>
      <c r="AF319" s="224"/>
      <c r="AG319" s="224"/>
      <c r="AH319" s="224"/>
      <c r="AI319" s="224"/>
      <c r="AJ319" s="224"/>
      <c r="AK319" s="224"/>
      <c r="AL319" s="224"/>
      <c r="AM319" s="224"/>
      <c r="AN319" s="224"/>
      <c r="AO319" s="224"/>
      <c r="AP319" s="224"/>
    </row>
    <row r="320" s="167" customFormat="1" ht="29" customHeight="1" spans="1:42">
      <c r="A320" s="215">
        <v>2</v>
      </c>
      <c r="B320" s="215" t="s">
        <v>25</v>
      </c>
      <c r="C320" s="215" t="s">
        <v>35</v>
      </c>
      <c r="D320" s="215">
        <v>1</v>
      </c>
      <c r="E320" s="215" t="s">
        <v>53</v>
      </c>
      <c r="F320" s="216">
        <v>415.74</v>
      </c>
      <c r="G320" s="217" t="s">
        <v>501</v>
      </c>
      <c r="H320" s="223"/>
      <c r="I320" s="218">
        <v>46126</v>
      </c>
      <c r="J320" s="219"/>
      <c r="K320" s="219">
        <f t="shared" si="19"/>
        <v>46216</v>
      </c>
      <c r="L320" s="219">
        <v>46113</v>
      </c>
      <c r="M320" s="219">
        <v>46142</v>
      </c>
      <c r="N320" s="217">
        <v>30</v>
      </c>
      <c r="O320" s="220">
        <f t="shared" si="20"/>
        <v>12472.2</v>
      </c>
      <c r="P320" s="221">
        <v>0</v>
      </c>
      <c r="Q320" s="222">
        <v>0</v>
      </c>
      <c r="R320" s="224"/>
      <c r="S320" s="224"/>
      <c r="T320" s="224"/>
      <c r="U320" s="224"/>
      <c r="V320" s="224"/>
      <c r="W320" s="224"/>
      <c r="X320" s="224"/>
      <c r="Y320" s="224"/>
      <c r="Z320" s="224"/>
      <c r="AA320" s="224"/>
      <c r="AB320" s="224"/>
      <c r="AC320" s="224"/>
      <c r="AD320" s="224"/>
      <c r="AE320" s="224"/>
      <c r="AF320" s="224"/>
      <c r="AG320" s="224"/>
      <c r="AH320" s="224"/>
      <c r="AI320" s="224"/>
      <c r="AJ320" s="224"/>
      <c r="AK320" s="224"/>
      <c r="AL320" s="224"/>
      <c r="AM320" s="224"/>
      <c r="AN320" s="224"/>
      <c r="AO320" s="224"/>
      <c r="AP320" s="224"/>
    </row>
    <row r="321" s="167" customFormat="1" ht="29" customHeight="1" spans="1:42">
      <c r="A321" s="215">
        <v>2</v>
      </c>
      <c r="B321" s="215" t="s">
        <v>25</v>
      </c>
      <c r="C321" s="215" t="s">
        <v>35</v>
      </c>
      <c r="D321" s="215">
        <v>1</v>
      </c>
      <c r="E321" s="215" t="s">
        <v>53</v>
      </c>
      <c r="F321" s="216">
        <v>415.74</v>
      </c>
      <c r="G321" s="217" t="s">
        <v>502</v>
      </c>
      <c r="H321" s="223"/>
      <c r="I321" s="218">
        <v>46126</v>
      </c>
      <c r="J321" s="219"/>
      <c r="K321" s="219">
        <f t="shared" si="19"/>
        <v>46216</v>
      </c>
      <c r="L321" s="219">
        <v>46113</v>
      </c>
      <c r="M321" s="219">
        <v>46142</v>
      </c>
      <c r="N321" s="217">
        <v>30</v>
      </c>
      <c r="O321" s="220">
        <f t="shared" si="20"/>
        <v>12472.2</v>
      </c>
      <c r="P321" s="221">
        <v>0</v>
      </c>
      <c r="Q321" s="222">
        <v>0</v>
      </c>
      <c r="R321" s="224"/>
      <c r="S321" s="224"/>
      <c r="T321" s="224"/>
      <c r="U321" s="224"/>
      <c r="V321" s="224"/>
      <c r="W321" s="224"/>
      <c r="X321" s="224"/>
      <c r="Y321" s="224"/>
      <c r="Z321" s="224"/>
      <c r="AA321" s="224"/>
      <c r="AB321" s="224"/>
      <c r="AC321" s="224"/>
      <c r="AD321" s="224"/>
      <c r="AE321" s="224"/>
      <c r="AF321" s="224"/>
      <c r="AG321" s="224"/>
      <c r="AH321" s="224"/>
      <c r="AI321" s="224"/>
      <c r="AJ321" s="224"/>
      <c r="AK321" s="224"/>
      <c r="AL321" s="224"/>
      <c r="AM321" s="224"/>
      <c r="AN321" s="224"/>
      <c r="AO321" s="224"/>
      <c r="AP321" s="224"/>
    </row>
    <row r="322" s="167" customFormat="1" ht="29" customHeight="1" spans="1:42">
      <c r="A322" s="215">
        <v>2</v>
      </c>
      <c r="B322" s="215" t="s">
        <v>25</v>
      </c>
      <c r="C322" s="215" t="s">
        <v>35</v>
      </c>
      <c r="D322" s="215">
        <v>1</v>
      </c>
      <c r="E322" s="215" t="s">
        <v>53</v>
      </c>
      <c r="F322" s="216">
        <v>415.74</v>
      </c>
      <c r="G322" s="217" t="s">
        <v>504</v>
      </c>
      <c r="H322" s="223"/>
      <c r="I322" s="218">
        <v>46126</v>
      </c>
      <c r="J322" s="219"/>
      <c r="K322" s="219">
        <f t="shared" si="19"/>
        <v>46216</v>
      </c>
      <c r="L322" s="219">
        <v>46113</v>
      </c>
      <c r="M322" s="219">
        <v>46142</v>
      </c>
      <c r="N322" s="217">
        <v>30</v>
      </c>
      <c r="O322" s="220">
        <f t="shared" si="20"/>
        <v>12472.2</v>
      </c>
      <c r="P322" s="221">
        <v>0</v>
      </c>
      <c r="Q322" s="222">
        <v>0</v>
      </c>
      <c r="R322" s="224"/>
      <c r="S322" s="224"/>
      <c r="T322" s="224"/>
      <c r="U322" s="224"/>
      <c r="V322" s="224"/>
      <c r="W322" s="224"/>
      <c r="X322" s="224"/>
      <c r="Y322" s="224"/>
      <c r="Z322" s="224"/>
      <c r="AA322" s="224"/>
      <c r="AB322" s="224"/>
      <c r="AC322" s="224"/>
      <c r="AD322" s="224"/>
      <c r="AE322" s="224"/>
      <c r="AF322" s="224"/>
      <c r="AG322" s="224"/>
      <c r="AH322" s="224"/>
      <c r="AI322" s="224"/>
      <c r="AJ322" s="224"/>
      <c r="AK322" s="224"/>
      <c r="AL322" s="224"/>
      <c r="AM322" s="224"/>
      <c r="AN322" s="224"/>
      <c r="AO322" s="224"/>
      <c r="AP322" s="224"/>
    </row>
    <row r="323" s="167" customFormat="1" ht="29" customHeight="1" spans="1:42">
      <c r="A323" s="215">
        <v>2</v>
      </c>
      <c r="B323" s="215" t="s">
        <v>25</v>
      </c>
      <c r="C323" s="215" t="s">
        <v>35</v>
      </c>
      <c r="D323" s="215">
        <v>1</v>
      </c>
      <c r="E323" s="215" t="s">
        <v>53</v>
      </c>
      <c r="F323" s="216">
        <v>415.74</v>
      </c>
      <c r="G323" s="217" t="s">
        <v>505</v>
      </c>
      <c r="H323" s="223"/>
      <c r="I323" s="218">
        <v>46126</v>
      </c>
      <c r="J323" s="219"/>
      <c r="K323" s="219">
        <f t="shared" si="19"/>
        <v>46216</v>
      </c>
      <c r="L323" s="219">
        <v>46113</v>
      </c>
      <c r="M323" s="219">
        <v>46142</v>
      </c>
      <c r="N323" s="217">
        <v>30</v>
      </c>
      <c r="O323" s="220">
        <f t="shared" si="20"/>
        <v>12472.2</v>
      </c>
      <c r="P323" s="221">
        <v>0</v>
      </c>
      <c r="Q323" s="222">
        <v>0</v>
      </c>
      <c r="R323" s="224"/>
      <c r="S323" s="224"/>
      <c r="T323" s="224"/>
      <c r="U323" s="224"/>
      <c r="V323" s="224"/>
      <c r="W323" s="224"/>
      <c r="X323" s="224"/>
      <c r="Y323" s="224"/>
      <c r="Z323" s="224"/>
      <c r="AA323" s="224"/>
      <c r="AB323" s="224"/>
      <c r="AC323" s="224"/>
      <c r="AD323" s="224"/>
      <c r="AE323" s="224"/>
      <c r="AF323" s="224"/>
      <c r="AG323" s="224"/>
      <c r="AH323" s="224"/>
      <c r="AI323" s="224"/>
      <c r="AJ323" s="224"/>
      <c r="AK323" s="224"/>
      <c r="AL323" s="224"/>
      <c r="AM323" s="224"/>
      <c r="AN323" s="224"/>
      <c r="AO323" s="224"/>
      <c r="AP323" s="224"/>
    </row>
    <row r="324" s="167" customFormat="1" ht="29" customHeight="1" spans="1:42">
      <c r="A324" s="215">
        <v>2</v>
      </c>
      <c r="B324" s="215" t="s">
        <v>25</v>
      </c>
      <c r="C324" s="215" t="s">
        <v>35</v>
      </c>
      <c r="D324" s="215">
        <v>1</v>
      </c>
      <c r="E324" s="215" t="s">
        <v>53</v>
      </c>
      <c r="F324" s="216">
        <v>415.74</v>
      </c>
      <c r="G324" s="217" t="s">
        <v>512</v>
      </c>
      <c r="H324" s="223"/>
      <c r="I324" s="218">
        <v>46126</v>
      </c>
      <c r="J324" s="219"/>
      <c r="K324" s="219">
        <f t="shared" si="19"/>
        <v>46216</v>
      </c>
      <c r="L324" s="219">
        <v>46113</v>
      </c>
      <c r="M324" s="219">
        <v>46142</v>
      </c>
      <c r="N324" s="217">
        <v>30</v>
      </c>
      <c r="O324" s="220">
        <f t="shared" si="20"/>
        <v>12472.2</v>
      </c>
      <c r="P324" s="221">
        <v>0</v>
      </c>
      <c r="Q324" s="222">
        <v>0</v>
      </c>
      <c r="R324" s="224"/>
      <c r="S324" s="224"/>
      <c r="T324" s="224"/>
      <c r="U324" s="224"/>
      <c r="V324" s="224"/>
      <c r="W324" s="224"/>
      <c r="X324" s="224"/>
      <c r="Y324" s="224"/>
      <c r="Z324" s="224"/>
      <c r="AA324" s="224"/>
      <c r="AB324" s="224"/>
      <c r="AC324" s="224"/>
      <c r="AD324" s="224"/>
      <c r="AE324" s="224"/>
      <c r="AF324" s="224"/>
      <c r="AG324" s="224"/>
      <c r="AH324" s="224"/>
      <c r="AI324" s="224"/>
      <c r="AJ324" s="224"/>
      <c r="AK324" s="224"/>
      <c r="AL324" s="224"/>
      <c r="AM324" s="224"/>
      <c r="AN324" s="224"/>
      <c r="AO324" s="224"/>
      <c r="AP324" s="224"/>
    </row>
    <row r="325" s="167" customFormat="1" ht="29" customHeight="1" spans="1:42">
      <c r="A325" s="215">
        <v>2</v>
      </c>
      <c r="B325" s="215" t="s">
        <v>25</v>
      </c>
      <c r="C325" s="215" t="s">
        <v>35</v>
      </c>
      <c r="D325" s="215">
        <v>1</v>
      </c>
      <c r="E325" s="215" t="s">
        <v>53</v>
      </c>
      <c r="F325" s="216">
        <v>415.74</v>
      </c>
      <c r="G325" s="217" t="s">
        <v>513</v>
      </c>
      <c r="H325" s="223"/>
      <c r="I325" s="218">
        <v>46126</v>
      </c>
      <c r="J325" s="219"/>
      <c r="K325" s="219">
        <f t="shared" si="19"/>
        <v>46216</v>
      </c>
      <c r="L325" s="219">
        <v>46113</v>
      </c>
      <c r="M325" s="219">
        <v>46142</v>
      </c>
      <c r="N325" s="217">
        <v>30</v>
      </c>
      <c r="O325" s="220">
        <f t="shared" si="20"/>
        <v>12472.2</v>
      </c>
      <c r="P325" s="221">
        <v>0</v>
      </c>
      <c r="Q325" s="222">
        <v>0</v>
      </c>
      <c r="R325" s="224"/>
      <c r="S325" s="224"/>
      <c r="T325" s="224"/>
      <c r="U325" s="224"/>
      <c r="V325" s="224"/>
      <c r="W325" s="224"/>
      <c r="X325" s="224"/>
      <c r="Y325" s="224"/>
      <c r="Z325" s="224"/>
      <c r="AA325" s="224"/>
      <c r="AB325" s="224"/>
      <c r="AC325" s="224"/>
      <c r="AD325" s="224"/>
      <c r="AE325" s="224"/>
      <c r="AF325" s="224"/>
      <c r="AG325" s="224"/>
      <c r="AH325" s="224"/>
      <c r="AI325" s="224"/>
      <c r="AJ325" s="224"/>
      <c r="AK325" s="224"/>
      <c r="AL325" s="224"/>
      <c r="AM325" s="224"/>
      <c r="AN325" s="224"/>
      <c r="AO325" s="224"/>
      <c r="AP325" s="224"/>
    </row>
    <row r="326" s="21" customFormat="1" ht="35" customHeight="1" spans="1:42">
      <c r="A326" s="29" t="s">
        <v>126</v>
      </c>
      <c r="B326" s="29"/>
      <c r="C326" s="29"/>
      <c r="D326" s="29">
        <f>SUM(D143:D325)</f>
        <v>396</v>
      </c>
      <c r="E326" s="29" t="s">
        <v>127</v>
      </c>
      <c r="F326" s="29"/>
      <c r="G326" s="29"/>
      <c r="H326" s="29"/>
      <c r="I326" s="29"/>
      <c r="J326" s="29"/>
      <c r="K326" s="29"/>
      <c r="L326" s="29"/>
      <c r="M326" s="29"/>
      <c r="N326" s="32"/>
      <c r="O326" s="33">
        <f>SUM(O311:O325)</f>
        <v>187083</v>
      </c>
      <c r="P326" s="32"/>
      <c r="Q326" s="33">
        <f>SUM(Q311:Q325)</f>
        <v>0</v>
      </c>
    </row>
    <row r="329" ht="37" customHeight="1" spans="1:42">
      <c r="A329" s="48" t="s">
        <v>16</v>
      </c>
      <c r="B329" s="48" t="s">
        <v>17</v>
      </c>
      <c r="C329" s="48" t="s">
        <v>18</v>
      </c>
      <c r="D329" s="48" t="s">
        <v>65</v>
      </c>
      <c r="E329" s="48" t="s">
        <v>46</v>
      </c>
      <c r="F329" s="48" t="s">
        <v>75</v>
      </c>
      <c r="G329" s="48"/>
      <c r="H329" s="48"/>
      <c r="I329" s="48"/>
      <c r="J329" s="48"/>
      <c r="K329" s="48"/>
      <c r="L329" s="48"/>
      <c r="M329" s="48"/>
      <c r="N329" s="48"/>
    </row>
    <row r="330" ht="37" customHeight="1" spans="1:42">
      <c r="A330" s="27">
        <v>50</v>
      </c>
      <c r="B330" s="27" t="s">
        <v>30</v>
      </c>
      <c r="C330" s="27" t="s">
        <v>31</v>
      </c>
      <c r="D330" s="32">
        <v>2</v>
      </c>
      <c r="E330" s="27" t="s">
        <v>53</v>
      </c>
      <c r="F330" s="32">
        <f>Q195</f>
        <v>592.02</v>
      </c>
      <c r="G330" s="32"/>
      <c r="H330" s="32"/>
      <c r="I330" s="32"/>
      <c r="J330" s="32"/>
      <c r="K330" s="32"/>
      <c r="L330" s="32"/>
      <c r="M330" s="32"/>
      <c r="N330" s="32"/>
    </row>
    <row r="331" ht="37" customHeight="1" spans="1:42">
      <c r="A331" s="27">
        <v>26</v>
      </c>
      <c r="B331" s="27" t="s">
        <v>21</v>
      </c>
      <c r="C331" s="27" t="s">
        <v>22</v>
      </c>
      <c r="D331" s="32">
        <v>103</v>
      </c>
      <c r="E331" s="27" t="s">
        <v>53</v>
      </c>
      <c r="F331" s="32">
        <f>SUM(Q199:Q305)</f>
        <v>7974.25999999999</v>
      </c>
      <c r="G331" s="32"/>
      <c r="H331" s="32"/>
      <c r="I331" s="32"/>
      <c r="J331" s="32"/>
      <c r="K331" s="32"/>
      <c r="L331" s="32"/>
      <c r="M331" s="32"/>
      <c r="N331" s="32"/>
    </row>
    <row r="332" ht="37" customHeight="1" spans="1:42">
      <c r="A332" s="19">
        <v>36</v>
      </c>
      <c r="B332" s="19" t="s">
        <v>51</v>
      </c>
      <c r="C332" s="19" t="s">
        <v>52</v>
      </c>
      <c r="D332" s="19">
        <v>6</v>
      </c>
      <c r="E332" s="19" t="s">
        <v>53</v>
      </c>
      <c r="F332" s="55">
        <f>SUM(Q3,Q23,Q58,Q78,Q103,Q135)</f>
        <v>409.92</v>
      </c>
      <c r="G332" s="154"/>
      <c r="H332" s="154"/>
      <c r="I332" s="154"/>
      <c r="J332" s="154"/>
      <c r="K332" s="154"/>
      <c r="L332" s="154"/>
      <c r="M332" s="154"/>
      <c r="N332" s="155"/>
    </row>
    <row r="333" ht="37" customHeight="1" spans="1:42">
      <c r="A333" s="19">
        <v>35</v>
      </c>
      <c r="B333" s="19" t="s">
        <v>51</v>
      </c>
      <c r="C333" s="19" t="s">
        <v>54</v>
      </c>
      <c r="D333" s="19">
        <v>63</v>
      </c>
      <c r="E333" s="19" t="s">
        <v>53</v>
      </c>
      <c r="F333" s="55">
        <f>SUM(Q43:Q57,Q98:Q102,Q123:Q134,Q155:Q186)</f>
        <v>140.4</v>
      </c>
      <c r="G333" s="154"/>
      <c r="H333" s="154"/>
      <c r="I333" s="154"/>
      <c r="J333" s="154"/>
      <c r="K333" s="154"/>
      <c r="L333" s="154"/>
      <c r="M333" s="154"/>
      <c r="N333" s="155"/>
    </row>
    <row r="334" ht="37" customHeight="1" spans="1:42">
      <c r="A334" s="156">
        <v>2</v>
      </c>
      <c r="B334" s="156" t="s">
        <v>25</v>
      </c>
      <c r="C334" s="156" t="s">
        <v>35</v>
      </c>
      <c r="D334" s="156">
        <v>15</v>
      </c>
      <c r="E334" s="156" t="s">
        <v>53</v>
      </c>
      <c r="F334" s="55">
        <v>0</v>
      </c>
      <c r="G334" s="154"/>
      <c r="H334" s="154"/>
      <c r="I334" s="154"/>
      <c r="J334" s="154"/>
      <c r="K334" s="154"/>
      <c r="L334" s="154"/>
      <c r="M334" s="154"/>
      <c r="N334" s="155"/>
    </row>
    <row r="335" ht="37" customHeight="1" spans="1:42">
      <c r="A335" s="32" t="s">
        <v>146</v>
      </c>
      <c r="B335" s="32"/>
      <c r="C335" s="32"/>
      <c r="D335" s="32"/>
      <c r="E335" s="32"/>
      <c r="F335" s="56">
        <f>SUM(F330:N333)</f>
        <v>9116.59999999999</v>
      </c>
      <c r="G335" s="56"/>
      <c r="H335" s="56"/>
      <c r="I335" s="56"/>
      <c r="J335" s="56"/>
      <c r="K335" s="56"/>
      <c r="L335" s="56"/>
      <c r="M335" s="56"/>
      <c r="N335" s="56"/>
    </row>
  </sheetData>
  <mergeCells count="117">
    <mergeCell ref="A1:P1"/>
    <mergeCell ref="A187:C187"/>
    <mergeCell ref="E187:M187"/>
    <mergeCell ref="A192:N192"/>
    <mergeCell ref="A195:C195"/>
    <mergeCell ref="E195:M195"/>
    <mergeCell ref="A197:S197"/>
    <mergeCell ref="A306:C306"/>
    <mergeCell ref="E306:M306"/>
    <mergeCell ref="A307:C307"/>
    <mergeCell ref="E307:M307"/>
    <mergeCell ref="A309:N309"/>
    <mergeCell ref="A326:C326"/>
    <mergeCell ref="E326:M326"/>
    <mergeCell ref="F329:N329"/>
    <mergeCell ref="F330:N330"/>
    <mergeCell ref="F331:N331"/>
    <mergeCell ref="F332:N332"/>
    <mergeCell ref="F333:N333"/>
    <mergeCell ref="F334:N334"/>
    <mergeCell ref="A335:E335"/>
    <mergeCell ref="F335:N335"/>
    <mergeCell ref="A3:A22"/>
    <mergeCell ref="A23:A42"/>
    <mergeCell ref="A58:A77"/>
    <mergeCell ref="A78:A97"/>
    <mergeCell ref="A103:A122"/>
    <mergeCell ref="A124:A128"/>
    <mergeCell ref="A129:A134"/>
    <mergeCell ref="A135:A154"/>
    <mergeCell ref="A155:A165"/>
    <mergeCell ref="A166:A178"/>
    <mergeCell ref="A179:A184"/>
    <mergeCell ref="A185:A186"/>
    <mergeCell ref="B3:B22"/>
    <mergeCell ref="B23:B42"/>
    <mergeCell ref="B58:B77"/>
    <mergeCell ref="B78:B97"/>
    <mergeCell ref="B103:B122"/>
    <mergeCell ref="B135:B154"/>
    <mergeCell ref="C3:C22"/>
    <mergeCell ref="C23:C42"/>
    <mergeCell ref="C58:C77"/>
    <mergeCell ref="C78:C97"/>
    <mergeCell ref="C103:C122"/>
    <mergeCell ref="C135:C154"/>
    <mergeCell ref="D3:D22"/>
    <mergeCell ref="D23:D42"/>
    <mergeCell ref="D58:D77"/>
    <mergeCell ref="D78:D97"/>
    <mergeCell ref="D103:D122"/>
    <mergeCell ref="D135:D154"/>
    <mergeCell ref="E3:E22"/>
    <mergeCell ref="E23:E42"/>
    <mergeCell ref="E58:E77"/>
    <mergeCell ref="E78:E97"/>
    <mergeCell ref="E103:E122"/>
    <mergeCell ref="E135:E154"/>
    <mergeCell ref="F3:F22"/>
    <mergeCell ref="F23:F42"/>
    <mergeCell ref="F58:F77"/>
    <mergeCell ref="F78:F97"/>
    <mergeCell ref="F103:F122"/>
    <mergeCell ref="F135:F154"/>
    <mergeCell ref="I3:I22"/>
    <mergeCell ref="I23:I42"/>
    <mergeCell ref="I58:I77"/>
    <mergeCell ref="I78:I97"/>
    <mergeCell ref="I103:I122"/>
    <mergeCell ref="I135:I154"/>
    <mergeCell ref="K3:K22"/>
    <mergeCell ref="K23:K42"/>
    <mergeCell ref="K58:K77"/>
    <mergeCell ref="K78:K97"/>
    <mergeCell ref="K103:K122"/>
    <mergeCell ref="K135:K154"/>
    <mergeCell ref="L3:L22"/>
    <mergeCell ref="L23:L42"/>
    <mergeCell ref="L135:L154"/>
    <mergeCell ref="M3:M22"/>
    <mergeCell ref="M23:M42"/>
    <mergeCell ref="M135:M154"/>
    <mergeCell ref="N3:N22"/>
    <mergeCell ref="N23:N42"/>
    <mergeCell ref="N58:N77"/>
    <mergeCell ref="N78:N97"/>
    <mergeCell ref="N103:N122"/>
    <mergeCell ref="N135:N154"/>
    <mergeCell ref="O3:O22"/>
    <mergeCell ref="O23:O42"/>
    <mergeCell ref="O58:O77"/>
    <mergeCell ref="O78:O97"/>
    <mergeCell ref="O103:O122"/>
    <mergeCell ref="O135:O154"/>
    <mergeCell ref="P3:P22"/>
    <mergeCell ref="P23:P42"/>
    <mergeCell ref="P58:P77"/>
    <mergeCell ref="P78:P97"/>
    <mergeCell ref="P103:P122"/>
    <mergeCell ref="P135:P154"/>
    <mergeCell ref="Q3:Q22"/>
    <mergeCell ref="Q23:Q42"/>
    <mergeCell ref="Q58:Q77"/>
    <mergeCell ref="Q78:Q97"/>
    <mergeCell ref="Q103:Q122"/>
    <mergeCell ref="Q135:Q154"/>
    <mergeCell ref="S248:S253"/>
    <mergeCell ref="S254:S257"/>
    <mergeCell ref="S258:S261"/>
    <mergeCell ref="S263:S264"/>
    <mergeCell ref="S273:S274"/>
    <mergeCell ref="S275:S276"/>
    <mergeCell ref="S277:S279"/>
    <mergeCell ref="S280:S285"/>
    <mergeCell ref="S287:S288"/>
    <mergeCell ref="S289:S293"/>
    <mergeCell ref="S294:S297"/>
  </mergeCells>
  <hyperlinks>
    <hyperlink ref="G103" r:id="rId1" display="100.126.102.2"/>
    <hyperlink ref="G104" r:id="rId2" display="100.126.102.3"/>
    <hyperlink ref="G105" r:id="rId3" display="100.126.102.4"/>
    <hyperlink ref="G106" r:id="rId4" display="100.126.102.5"/>
    <hyperlink ref="G107" r:id="rId5" display="100.126.102.6"/>
    <hyperlink ref="G108" r:id="rId6" display="100.126.102.7"/>
    <hyperlink ref="G109" r:id="rId7" display="100.126.102.8"/>
    <hyperlink ref="G110" r:id="rId8" display="100.126.102.9"/>
    <hyperlink ref="G111" r:id="rId9" display="100.126.102.10"/>
    <hyperlink ref="G112" r:id="rId10" display="100.126.102.11"/>
    <hyperlink ref="G113" r:id="rId11" display="100.126.102.12"/>
    <hyperlink ref="G114" r:id="rId12" display="100.126.102.13"/>
    <hyperlink ref="G115" r:id="rId13" display="100.126.102.14"/>
    <hyperlink ref="G116" r:id="rId14" display="100.126.102.15"/>
    <hyperlink ref="G117" r:id="rId15" display="100.126.102.16"/>
    <hyperlink ref="G118" r:id="rId16" display="100.126.102.17"/>
    <hyperlink ref="G119" r:id="rId17" display="100.126.102.18"/>
    <hyperlink ref="G120" r:id="rId18" display="100.126.102.19"/>
    <hyperlink ref="G121" r:id="rId19" display="100.126.102.20"/>
    <hyperlink ref="G122" r:id="rId20" display="100.126.102.21"/>
    <hyperlink ref="G123" r:id="rId21" display="100.126.102.22"/>
    <hyperlink ref="G124" r:id="rId22" display="100.126.102.23"/>
    <hyperlink ref="G125" r:id="rId23" display="100.126.102.24"/>
    <hyperlink ref="G126" r:id="rId24" display="100.126.102.25"/>
    <hyperlink ref="G127" r:id="rId25" display="100.126.102.26"/>
    <hyperlink ref="G128" r:id="rId26" display="100.126.102.27"/>
    <hyperlink ref="G129" r:id="rId27" display="173.100.102.134"/>
    <hyperlink ref="G130" r:id="rId27" display="173.100.102.135"/>
    <hyperlink ref="G131" r:id="rId27" display="173.100.102.136"/>
    <hyperlink ref="G132" r:id="rId27" display="173.100.102.137"/>
    <hyperlink ref="G133" r:id="rId27" display="173.100.102.138"/>
    <hyperlink ref="G134" r:id="rId27" display="173.100.102.139"/>
    <hyperlink ref="G135" r:id="rId28" display="100.126.102.28"/>
    <hyperlink ref="G136" r:id="rId28" display="100.126.102.29"/>
    <hyperlink ref="G137" r:id="rId28" display="100.126.102.30"/>
    <hyperlink ref="G138" r:id="rId28" display="100.126.102.31"/>
    <hyperlink ref="G139" r:id="rId28" display="100.126.102.32"/>
    <hyperlink ref="G140" r:id="rId28" display="100.126.102.33"/>
    <hyperlink ref="G141" r:id="rId28" display="100.126.102.34"/>
    <hyperlink ref="G142" r:id="rId28" display="100.126.102.35"/>
    <hyperlink ref="G143" r:id="rId28" display="100.126.102.36"/>
    <hyperlink ref="G144" r:id="rId28" display="100.126.102.37"/>
    <hyperlink ref="G145" r:id="rId28" display="100.126.102.38"/>
    <hyperlink ref="G146" r:id="rId28" display="100.126.102.39"/>
    <hyperlink ref="G147" r:id="rId28" display="100.126.102.40"/>
    <hyperlink ref="G148" r:id="rId28" display="100.126.102.41"/>
    <hyperlink ref="G149" r:id="rId28" display="100.126.102.42"/>
    <hyperlink ref="G150" r:id="rId28" display="100.126.102.43"/>
    <hyperlink ref="G151" r:id="rId28" display="100.126.102.44"/>
    <hyperlink ref="G152" r:id="rId28" display="100.126.102.45"/>
    <hyperlink ref="G153" r:id="rId28" display="100.126.102.46"/>
    <hyperlink ref="G154" r:id="rId28" display="100.126.102.47"/>
    <hyperlink ref="G155" r:id="rId28" display="100.126.102.48"/>
    <hyperlink ref="G156" r:id="rId28" display="100.126.102.49"/>
    <hyperlink ref="G157" r:id="rId28" display="100.126.102.50"/>
    <hyperlink ref="G158" r:id="rId28" display="100.126.102.51"/>
    <hyperlink ref="G159" r:id="rId28" display="100.126.102.52"/>
    <hyperlink ref="G160" r:id="rId28" display="100.126.102.53"/>
    <hyperlink ref="G161" r:id="rId28" display="100.126.102.54"/>
    <hyperlink ref="G162" r:id="rId28" display="100.126.102.55"/>
    <hyperlink ref="G163" r:id="rId28" display="100.126.102.56"/>
    <hyperlink ref="G164" r:id="rId28" display="100.126.102.57"/>
    <hyperlink ref="G165" r:id="rId28" display="100.126.102.58"/>
    <hyperlink ref="G166" r:id="rId29" display="100.126.102.74"/>
    <hyperlink ref="G167" r:id="rId29" display="100.126.102.75"/>
    <hyperlink ref="G168" r:id="rId29" display="100.126.102.76"/>
    <hyperlink ref="G169" r:id="rId29" display="100.126.102.77"/>
    <hyperlink ref="G170" r:id="rId29" display="100.126.102.78"/>
    <hyperlink ref="G171" r:id="rId29" display="100.126.102.79"/>
    <hyperlink ref="G172" r:id="rId29" display="100.126.102.80"/>
    <hyperlink ref="G173" r:id="rId29" display="100.126.102.81"/>
    <hyperlink ref="G174" r:id="rId29" display="100.126.102.82"/>
    <hyperlink ref="G175" r:id="rId29" display="100.126.102.83"/>
    <hyperlink ref="G176" r:id="rId29" display="100.126.102.84"/>
    <hyperlink ref="G177" r:id="rId29" display="100.126.102.85"/>
    <hyperlink ref="G178" r:id="rId29" display="100.126.102.86"/>
    <hyperlink ref="G179" r:id="rId30" display="100.126.102.87"/>
    <hyperlink ref="G180" r:id="rId30" display="100.126.102.88"/>
    <hyperlink ref="G181" r:id="rId30" display="100.126.102.89"/>
    <hyperlink ref="G182" r:id="rId30" display="100.126.102.90"/>
    <hyperlink ref="G183" r:id="rId30" display="100.126.102.91"/>
    <hyperlink ref="G184" r:id="rId30" display="100.126.102.92"/>
    <hyperlink ref="G185" r:id="rId31" display="100.126.102.93"/>
    <hyperlink ref="G186" r:id="rId32" display="100.126.102.94"/>
  </hyperlink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18"/>
  <sheetViews>
    <sheetView zoomScale="85" zoomScaleNormal="85" workbookViewId="0">
      <selection activeCell="M3" sqref="E3:N4"/>
    </sheetView>
  </sheetViews>
  <sheetFormatPr defaultColWidth="8.8359375" defaultRowHeight="15" customHeight="1"/>
  <cols>
    <col min="1" max="1" width="10.96875" style="44" customWidth="1"/>
    <col min="2" max="2" width="7.5" style="44" customWidth="1"/>
    <col min="3" max="3" width="14.296875" style="44" customWidth="1"/>
    <col min="4" max="4" width="4.1015625" style="44" customWidth="1"/>
    <col min="5" max="5" width="4.8046875" style="44" customWidth="1"/>
    <col min="6" max="6" width="7.59375" style="44" customWidth="1"/>
    <col min="7" max="7" width="15.7578125" style="44" customWidth="1"/>
    <col min="8" max="9" width="12.2890625" style="44" customWidth="1"/>
    <col min="10" max="11" width="10.8984375" style="44" customWidth="1"/>
    <col min="12" max="12" width="9.8828125" style="44" customWidth="1"/>
    <col min="13" max="16" width="13.4453125" style="44" customWidth="1"/>
    <col min="17" max="42" width="8.8359375" style="44"/>
    <col min="43" max="16384" width="8.8359375" style="145"/>
  </cols>
  <sheetData>
    <row r="1" s="21" customFormat="1" ht="34" customHeight="1" spans="1:25">
      <c r="A1" s="23" t="s">
        <v>544</v>
      </c>
      <c r="B1" s="24"/>
      <c r="C1" s="24"/>
      <c r="D1" s="24"/>
      <c r="E1" s="24"/>
      <c r="F1" s="24"/>
      <c r="G1" s="24"/>
      <c r="H1" s="24"/>
      <c r="I1" s="24"/>
      <c r="J1" s="24"/>
      <c r="K1" s="24"/>
      <c r="L1" s="24"/>
      <c r="M1" s="24"/>
      <c r="N1" s="24"/>
      <c r="O1" s="24"/>
      <c r="P1" s="24"/>
      <c r="Q1" s="44"/>
      <c r="R1" s="44"/>
      <c r="S1" s="44"/>
    </row>
    <row r="2" s="21" customFormat="1" ht="35" customHeight="1" spans="1:25">
      <c r="A2" s="62" t="s">
        <v>16</v>
      </c>
      <c r="B2" s="62" t="s">
        <v>17</v>
      </c>
      <c r="C2" s="62" t="s">
        <v>18</v>
      </c>
      <c r="D2" s="62" t="s">
        <v>65</v>
      </c>
      <c r="E2" s="62" t="s">
        <v>46</v>
      </c>
      <c r="F2" s="62" t="s">
        <v>66</v>
      </c>
      <c r="G2" s="62" t="s">
        <v>67</v>
      </c>
      <c r="H2" s="62" t="s">
        <v>43</v>
      </c>
      <c r="I2" s="62" t="s">
        <v>68</v>
      </c>
      <c r="J2" s="35" t="s">
        <v>69</v>
      </c>
      <c r="K2" s="62" t="s">
        <v>328</v>
      </c>
      <c r="L2" s="62" t="s">
        <v>71</v>
      </c>
      <c r="M2" s="36" t="s">
        <v>72</v>
      </c>
      <c r="N2" s="36" t="s">
        <v>73</v>
      </c>
      <c r="O2" s="35" t="s">
        <v>329</v>
      </c>
      <c r="P2" s="62" t="s">
        <v>75</v>
      </c>
      <c r="Q2" s="44"/>
      <c r="R2" s="44"/>
      <c r="S2" s="44"/>
      <c r="T2" s="44"/>
      <c r="U2" s="44"/>
      <c r="V2" s="44"/>
      <c r="W2" s="44"/>
      <c r="X2" s="44"/>
      <c r="Y2" s="44"/>
    </row>
    <row r="3" s="21" customFormat="1" ht="30" customHeight="1" spans="1:25">
      <c r="A3" s="14">
        <v>50</v>
      </c>
      <c r="B3" s="14" t="s">
        <v>30</v>
      </c>
      <c r="C3" s="14" t="s">
        <v>31</v>
      </c>
      <c r="D3" s="14">
        <v>1</v>
      </c>
      <c r="E3" s="14" t="s">
        <v>53</v>
      </c>
      <c r="F3" s="63">
        <v>22.77</v>
      </c>
      <c r="G3" s="19"/>
      <c r="H3" s="157">
        <v>46014</v>
      </c>
      <c r="I3" s="158">
        <v>46126</v>
      </c>
      <c r="J3" s="157">
        <f>H3+90</f>
        <v>46104</v>
      </c>
      <c r="K3" s="157">
        <v>46113</v>
      </c>
      <c r="L3" s="157">
        <v>46125</v>
      </c>
      <c r="M3" s="19">
        <v>13</v>
      </c>
      <c r="N3" s="29">
        <f>M3*D3*F3</f>
        <v>296.01</v>
      </c>
      <c r="O3" s="19">
        <f>L3-K3+1</f>
        <v>13</v>
      </c>
      <c r="P3" s="67">
        <f>F3*O3*D3</f>
        <v>296.01</v>
      </c>
      <c r="Q3" s="146" t="s">
        <v>133</v>
      </c>
      <c r="R3" s="44"/>
      <c r="S3" s="44"/>
    </row>
    <row r="4" s="21" customFormat="1" ht="35" customHeight="1" spans="1:25">
      <c r="A4" s="29" t="s">
        <v>126</v>
      </c>
      <c r="B4" s="29"/>
      <c r="C4" s="29"/>
      <c r="D4" s="29">
        <f>SUM(D3)</f>
        <v>1</v>
      </c>
      <c r="E4" s="29" t="s">
        <v>127</v>
      </c>
      <c r="F4" s="29"/>
      <c r="G4" s="29"/>
      <c r="H4" s="29"/>
      <c r="I4" s="29"/>
      <c r="J4" s="29"/>
      <c r="K4" s="29"/>
      <c r="L4" s="29"/>
      <c r="M4" s="29"/>
      <c r="N4" s="33">
        <f>SUM(N3)</f>
        <v>296.01</v>
      </c>
      <c r="O4" s="147"/>
      <c r="P4" s="33">
        <f>SUM(P3)</f>
        <v>296.01</v>
      </c>
    </row>
    <row r="6" ht="22.85" customHeight="1" spans="1:25">
      <c r="A6" s="23" t="s">
        <v>545</v>
      </c>
      <c r="B6" s="24"/>
      <c r="C6" s="24"/>
      <c r="D6" s="24"/>
      <c r="E6" s="24"/>
      <c r="F6" s="24"/>
      <c r="G6" s="24"/>
      <c r="H6" s="24"/>
      <c r="I6" s="24"/>
      <c r="J6" s="24"/>
      <c r="K6" s="24"/>
      <c r="L6" s="24"/>
      <c r="M6" s="24"/>
      <c r="N6" s="24"/>
      <c r="O6" s="24"/>
      <c r="P6" s="24"/>
    </row>
    <row r="7" ht="47.25" customHeight="1" spans="1:25">
      <c r="A7" s="62" t="s">
        <v>16</v>
      </c>
      <c r="B7" s="62" t="s">
        <v>17</v>
      </c>
      <c r="C7" s="62" t="s">
        <v>18</v>
      </c>
      <c r="D7" s="62" t="s">
        <v>65</v>
      </c>
      <c r="E7" s="62" t="s">
        <v>46</v>
      </c>
      <c r="F7" s="62" t="s">
        <v>66</v>
      </c>
      <c r="G7" s="62" t="s">
        <v>322</v>
      </c>
      <c r="H7" s="62" t="s">
        <v>43</v>
      </c>
      <c r="I7" s="62" t="s">
        <v>68</v>
      </c>
      <c r="J7" s="62" t="s">
        <v>69</v>
      </c>
      <c r="K7" s="62" t="s">
        <v>318</v>
      </c>
      <c r="L7" s="62" t="s">
        <v>71</v>
      </c>
      <c r="M7" s="36" t="s">
        <v>72</v>
      </c>
      <c r="N7" s="36" t="s">
        <v>73</v>
      </c>
      <c r="O7" s="62" t="s">
        <v>20</v>
      </c>
      <c r="P7" s="62" t="s">
        <v>319</v>
      </c>
    </row>
    <row r="8" ht="30" customHeight="1" spans="1:25">
      <c r="A8" s="14">
        <v>26</v>
      </c>
      <c r="B8" s="14" t="s">
        <v>21</v>
      </c>
      <c r="C8" s="14" t="s">
        <v>22</v>
      </c>
      <c r="D8" s="19">
        <v>1</v>
      </c>
      <c r="E8" s="14" t="s">
        <v>53</v>
      </c>
      <c r="F8" s="63">
        <v>5.53</v>
      </c>
      <c r="G8" s="148" t="s">
        <v>546</v>
      </c>
      <c r="H8" s="64">
        <v>46014</v>
      </c>
      <c r="I8" s="64"/>
      <c r="J8" s="159">
        <f>H8+90</f>
        <v>46104</v>
      </c>
      <c r="K8" s="157">
        <v>46113</v>
      </c>
      <c r="L8" s="157">
        <v>46142</v>
      </c>
      <c r="M8" s="19">
        <v>30</v>
      </c>
      <c r="N8" s="29">
        <f t="shared" ref="N8:N10" si="0">M8*D8*F8</f>
        <v>165.9</v>
      </c>
      <c r="O8" s="19">
        <f t="shared" ref="O8:O10" si="1">L8-K8+1</f>
        <v>30</v>
      </c>
      <c r="P8" s="67">
        <f>D8*F8*O8</f>
        <v>165.9</v>
      </c>
    </row>
    <row r="9" ht="30" customHeight="1" spans="1:25">
      <c r="A9" s="14">
        <v>26</v>
      </c>
      <c r="B9" s="14" t="s">
        <v>21</v>
      </c>
      <c r="C9" s="14" t="s">
        <v>22</v>
      </c>
      <c r="D9" s="19">
        <v>1</v>
      </c>
      <c r="E9" s="14" t="s">
        <v>53</v>
      </c>
      <c r="F9" s="63">
        <v>5.53</v>
      </c>
      <c r="G9" s="148" t="s">
        <v>547</v>
      </c>
      <c r="H9" s="64">
        <v>46014</v>
      </c>
      <c r="I9" s="64"/>
      <c r="J9" s="159">
        <f>H9+90</f>
        <v>46104</v>
      </c>
      <c r="K9" s="157">
        <v>46113</v>
      </c>
      <c r="L9" s="157">
        <v>46142</v>
      </c>
      <c r="M9" s="19">
        <v>30</v>
      </c>
      <c r="N9" s="29">
        <f t="shared" si="0"/>
        <v>165.9</v>
      </c>
      <c r="O9" s="19">
        <f t="shared" si="1"/>
        <v>30</v>
      </c>
      <c r="P9" s="67">
        <f>D9*F9*O9</f>
        <v>165.9</v>
      </c>
    </row>
    <row r="10" ht="30" customHeight="1" spans="1:25">
      <c r="A10" s="14">
        <v>26</v>
      </c>
      <c r="B10" s="14" t="s">
        <v>21</v>
      </c>
      <c r="C10" s="14" t="s">
        <v>22</v>
      </c>
      <c r="D10" s="19">
        <v>1</v>
      </c>
      <c r="E10" s="14" t="s">
        <v>53</v>
      </c>
      <c r="F10" s="63">
        <v>5.53</v>
      </c>
      <c r="G10" s="148" t="s">
        <v>548</v>
      </c>
      <c r="H10" s="64">
        <v>46014</v>
      </c>
      <c r="I10" s="64"/>
      <c r="J10" s="159">
        <f>H10+90</f>
        <v>46104</v>
      </c>
      <c r="K10" s="157">
        <v>46113</v>
      </c>
      <c r="L10" s="157">
        <v>46142</v>
      </c>
      <c r="M10" s="19">
        <v>30</v>
      </c>
      <c r="N10" s="29">
        <f t="shared" si="0"/>
        <v>165.9</v>
      </c>
      <c r="O10" s="19">
        <f t="shared" si="1"/>
        <v>30</v>
      </c>
      <c r="P10" s="67">
        <f>D10*F10*O10</f>
        <v>165.9</v>
      </c>
    </row>
    <row r="11" s="21" customFormat="1" ht="35" customHeight="1" spans="1:25">
      <c r="A11" s="29" t="s">
        <v>126</v>
      </c>
      <c r="B11" s="29"/>
      <c r="C11" s="29"/>
      <c r="D11" s="29">
        <f>SUM(D8:D10)</f>
        <v>3</v>
      </c>
      <c r="E11" s="29" t="s">
        <v>127</v>
      </c>
      <c r="F11" s="29"/>
      <c r="G11" s="29"/>
      <c r="H11" s="29"/>
      <c r="I11" s="29"/>
      <c r="J11" s="29"/>
      <c r="K11" s="29"/>
      <c r="L11" s="29"/>
      <c r="M11" s="29"/>
      <c r="N11" s="33">
        <f>SUM(N8:N10)</f>
        <v>497.7</v>
      </c>
      <c r="O11" s="147"/>
      <c r="P11" s="33">
        <f>SUM(P8:P10)</f>
        <v>497.7</v>
      </c>
    </row>
    <row r="14" ht="24" customHeight="1" spans="1:25">
      <c r="A14" s="160" t="s">
        <v>145</v>
      </c>
      <c r="B14" s="161"/>
      <c r="C14" s="161"/>
      <c r="D14" s="161"/>
      <c r="E14" s="161"/>
      <c r="F14" s="161"/>
      <c r="G14" s="161"/>
      <c r="H14" s="161"/>
      <c r="I14" s="161"/>
      <c r="J14" s="161"/>
      <c r="K14" s="161"/>
      <c r="L14" s="161"/>
      <c r="M14" s="161"/>
      <c r="N14" s="161"/>
      <c r="O14" s="161"/>
      <c r="P14" s="161"/>
    </row>
    <row r="15" ht="24" customHeight="1" spans="1:25">
      <c r="A15" s="48" t="s">
        <v>16</v>
      </c>
      <c r="B15" s="48" t="s">
        <v>17</v>
      </c>
      <c r="C15" s="48" t="s">
        <v>18</v>
      </c>
      <c r="D15" s="48" t="s">
        <v>65</v>
      </c>
      <c r="E15" s="48" t="s">
        <v>46</v>
      </c>
      <c r="F15" s="162" t="s">
        <v>75</v>
      </c>
      <c r="G15" s="163"/>
      <c r="H15" s="163"/>
      <c r="I15" s="163"/>
      <c r="J15" s="163"/>
      <c r="K15" s="163"/>
      <c r="L15" s="163"/>
      <c r="M15" s="163"/>
      <c r="N15" s="163"/>
      <c r="O15" s="163"/>
      <c r="P15" s="163"/>
    </row>
    <row r="16" ht="27" customHeight="1" spans="1:25">
      <c r="A16" s="27">
        <v>50</v>
      </c>
      <c r="B16" s="27" t="s">
        <v>30</v>
      </c>
      <c r="C16" s="27" t="s">
        <v>31</v>
      </c>
      <c r="D16" s="32">
        <v>1</v>
      </c>
      <c r="E16" s="27" t="s">
        <v>53</v>
      </c>
      <c r="F16" s="32">
        <f>P4</f>
        <v>296.01</v>
      </c>
      <c r="G16" s="32"/>
      <c r="H16" s="32"/>
      <c r="I16" s="32"/>
      <c r="J16" s="32"/>
      <c r="K16" s="32"/>
      <c r="L16" s="32"/>
      <c r="M16" s="32"/>
      <c r="N16" s="32"/>
      <c r="O16" s="32"/>
      <c r="P16" s="32"/>
    </row>
    <row r="17" ht="27" customHeight="1" spans="1:16">
      <c r="A17" s="27">
        <v>26</v>
      </c>
      <c r="B17" s="27" t="s">
        <v>21</v>
      </c>
      <c r="C17" s="27" t="s">
        <v>22</v>
      </c>
      <c r="D17" s="32">
        <v>3</v>
      </c>
      <c r="E17" s="27" t="s">
        <v>53</v>
      </c>
      <c r="F17" s="32">
        <f>P11</f>
        <v>497.7</v>
      </c>
      <c r="G17" s="32"/>
      <c r="H17" s="32"/>
      <c r="I17" s="32"/>
      <c r="J17" s="32"/>
      <c r="K17" s="32"/>
      <c r="L17" s="32"/>
      <c r="M17" s="32"/>
      <c r="N17" s="32"/>
      <c r="O17" s="32"/>
      <c r="P17" s="32"/>
    </row>
    <row r="18" ht="27" customHeight="1" spans="1:16">
      <c r="A18" s="32" t="s">
        <v>146</v>
      </c>
      <c r="B18" s="32"/>
      <c r="C18" s="32"/>
      <c r="D18" s="32"/>
      <c r="E18" s="32"/>
      <c r="F18" s="56">
        <f>SUM(F16:N17)</f>
        <v>793.71</v>
      </c>
      <c r="G18" s="56"/>
      <c r="H18" s="56"/>
      <c r="I18" s="56"/>
      <c r="J18" s="56"/>
      <c r="K18" s="56"/>
      <c r="L18" s="56"/>
      <c r="M18" s="56"/>
      <c r="N18" s="56"/>
      <c r="O18" s="56"/>
      <c r="P18" s="56"/>
    </row>
  </sheetData>
  <mergeCells count="12">
    <mergeCell ref="A1:P1"/>
    <mergeCell ref="A4:C4"/>
    <mergeCell ref="E4:M4"/>
    <mergeCell ref="A6:P6"/>
    <mergeCell ref="A11:C11"/>
    <mergeCell ref="E11:M11"/>
    <mergeCell ref="A14:P14"/>
    <mergeCell ref="F15:P15"/>
    <mergeCell ref="F16:P16"/>
    <mergeCell ref="F17:P17"/>
    <mergeCell ref="A18:E18"/>
    <mergeCell ref="F18:P18"/>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29"/>
  <sheetViews>
    <sheetView zoomScale="55" zoomScaleNormal="55" topLeftCell="A13" workbookViewId="0">
      <selection activeCell="F29" sqref="F29:P29"/>
    </sheetView>
  </sheetViews>
  <sheetFormatPr defaultColWidth="8.8359375" defaultRowHeight="35" customHeight="1"/>
  <cols>
    <col min="1" max="1" width="8.8359375" style="145"/>
    <col min="2" max="2" width="9" style="44" customWidth="1"/>
    <col min="3" max="3" width="18.8359375" style="44" customWidth="1"/>
    <col min="4" max="4" width="12" style="44" customWidth="1"/>
    <col min="5" max="5" width="8.8359375" style="145"/>
    <col min="6" max="6" width="8.1640625" style="44" customWidth="1"/>
    <col min="7" max="7" width="12" style="44"/>
    <col min="8" max="10" width="12.328125" style="44"/>
    <col min="11" max="11" width="11" style="44" customWidth="1"/>
    <col min="12" max="13" width="17.3359375" style="44" customWidth="1"/>
    <col min="14" max="16" width="17.3359375" style="145" customWidth="1"/>
    <col min="17" max="17" width="17.578125" style="145" customWidth="1"/>
    <col min="18" max="16384" width="8.8359375" style="145"/>
  </cols>
  <sheetData>
    <row r="1" s="21" customFormat="1" customHeight="1" spans="1:25">
      <c r="A1" s="23" t="s">
        <v>549</v>
      </c>
      <c r="B1" s="24"/>
      <c r="C1" s="24"/>
      <c r="D1" s="24"/>
      <c r="E1" s="24"/>
      <c r="F1" s="24"/>
      <c r="G1" s="24"/>
      <c r="H1" s="24"/>
      <c r="I1" s="24"/>
      <c r="J1" s="24"/>
      <c r="K1" s="24"/>
      <c r="L1" s="24"/>
      <c r="M1" s="24"/>
      <c r="N1" s="24"/>
      <c r="O1" s="24"/>
      <c r="P1" s="24"/>
      <c r="Q1" s="44"/>
      <c r="R1" s="44"/>
      <c r="S1" s="44"/>
    </row>
    <row r="2" s="21" customFormat="1" customHeight="1" spans="1:25">
      <c r="A2" s="62" t="s">
        <v>16</v>
      </c>
      <c r="B2" s="62" t="s">
        <v>17</v>
      </c>
      <c r="C2" s="62" t="s">
        <v>18</v>
      </c>
      <c r="D2" s="62" t="s">
        <v>65</v>
      </c>
      <c r="E2" s="62" t="s">
        <v>46</v>
      </c>
      <c r="F2" s="62" t="s">
        <v>66</v>
      </c>
      <c r="G2" s="62" t="s">
        <v>67</v>
      </c>
      <c r="H2" s="62" t="s">
        <v>43</v>
      </c>
      <c r="I2" s="62" t="s">
        <v>68</v>
      </c>
      <c r="J2" s="35" t="s">
        <v>69</v>
      </c>
      <c r="K2" s="62" t="s">
        <v>328</v>
      </c>
      <c r="L2" s="62" t="s">
        <v>71</v>
      </c>
      <c r="M2" s="36" t="s">
        <v>72</v>
      </c>
      <c r="N2" s="36" t="s">
        <v>73</v>
      </c>
      <c r="O2" s="35" t="s">
        <v>329</v>
      </c>
      <c r="P2" s="62" t="s">
        <v>75</v>
      </c>
      <c r="Q2" s="44"/>
      <c r="R2" s="44"/>
      <c r="S2" s="44"/>
      <c r="T2" s="44"/>
      <c r="U2" s="44"/>
      <c r="V2" s="44"/>
      <c r="W2" s="44"/>
      <c r="X2" s="44"/>
      <c r="Y2" s="44"/>
    </row>
    <row r="3" s="21" customFormat="1" customHeight="1" spans="1:25">
      <c r="A3" s="14">
        <v>50</v>
      </c>
      <c r="B3" s="14" t="s">
        <v>30</v>
      </c>
      <c r="C3" s="14" t="s">
        <v>31</v>
      </c>
      <c r="D3" s="14">
        <v>1</v>
      </c>
      <c r="E3" s="14" t="s">
        <v>53</v>
      </c>
      <c r="F3" s="63">
        <v>22.77</v>
      </c>
      <c r="G3" s="19"/>
      <c r="H3" s="64">
        <v>46101</v>
      </c>
      <c r="I3" s="65">
        <v>46126</v>
      </c>
      <c r="J3" s="64">
        <f>H3+90</f>
        <v>46191</v>
      </c>
      <c r="K3" s="64">
        <v>46113</v>
      </c>
      <c r="L3" s="64">
        <v>46125</v>
      </c>
      <c r="M3" s="19">
        <v>13</v>
      </c>
      <c r="N3" s="29">
        <f>M3*D3*F3</f>
        <v>296.01</v>
      </c>
      <c r="O3" s="19">
        <v>0</v>
      </c>
      <c r="P3" s="67">
        <f>O3*F3*D3</f>
        <v>0</v>
      </c>
      <c r="Q3" s="146" t="s">
        <v>133</v>
      </c>
      <c r="R3" s="44"/>
      <c r="S3" s="44"/>
    </row>
    <row r="4" s="21" customFormat="1" customHeight="1" spans="1:25">
      <c r="A4" s="29" t="s">
        <v>126</v>
      </c>
      <c r="B4" s="29"/>
      <c r="C4" s="29"/>
      <c r="D4" s="29">
        <f>SUM(D3)</f>
        <v>1</v>
      </c>
      <c r="E4" s="29" t="s">
        <v>127</v>
      </c>
      <c r="F4" s="29"/>
      <c r="G4" s="29"/>
      <c r="H4" s="29"/>
      <c r="I4" s="29"/>
      <c r="J4" s="29"/>
      <c r="K4" s="29"/>
      <c r="L4" s="29"/>
      <c r="M4" s="29"/>
      <c r="N4" s="33">
        <f>SUM(N3)</f>
        <v>296.01</v>
      </c>
      <c r="O4" s="147"/>
      <c r="P4" s="33">
        <f>SUM(P3)</f>
        <v>0</v>
      </c>
    </row>
    <row r="6" customHeight="1" spans="1:25">
      <c r="A6" s="23" t="s">
        <v>550</v>
      </c>
      <c r="B6" s="24"/>
      <c r="C6" s="24"/>
      <c r="D6" s="24"/>
      <c r="E6" s="24"/>
      <c r="F6" s="24"/>
      <c r="G6" s="24"/>
      <c r="H6" s="24"/>
      <c r="I6" s="24"/>
      <c r="J6" s="24"/>
      <c r="K6" s="24"/>
      <c r="L6" s="24"/>
      <c r="M6" s="24"/>
      <c r="N6" s="24"/>
      <c r="O6" s="24"/>
      <c r="P6" s="24"/>
    </row>
    <row r="7" customHeight="1" spans="1:25">
      <c r="A7" s="25" t="s">
        <v>16</v>
      </c>
      <c r="B7" s="25" t="s">
        <v>17</v>
      </c>
      <c r="C7" s="25" t="s">
        <v>18</v>
      </c>
      <c r="D7" s="25" t="s">
        <v>65</v>
      </c>
      <c r="E7" s="25" t="s">
        <v>46</v>
      </c>
      <c r="F7" s="25" t="s">
        <v>66</v>
      </c>
      <c r="G7" s="25" t="s">
        <v>322</v>
      </c>
      <c r="H7" s="25" t="s">
        <v>43</v>
      </c>
      <c r="I7" s="25" t="s">
        <v>68</v>
      </c>
      <c r="J7" s="25" t="s">
        <v>69</v>
      </c>
      <c r="K7" s="25" t="s">
        <v>328</v>
      </c>
      <c r="L7" s="25" t="s">
        <v>71</v>
      </c>
      <c r="M7" s="26" t="s">
        <v>72</v>
      </c>
      <c r="N7" s="26" t="s">
        <v>73</v>
      </c>
      <c r="O7" s="25" t="s">
        <v>74</v>
      </c>
      <c r="P7" s="25" t="s">
        <v>75</v>
      </c>
    </row>
    <row r="8" customHeight="1" spans="1:25">
      <c r="A8" s="27">
        <v>26</v>
      </c>
      <c r="B8" s="27" t="s">
        <v>21</v>
      </c>
      <c r="C8" s="27" t="s">
        <v>22</v>
      </c>
      <c r="D8" s="29">
        <v>1</v>
      </c>
      <c r="E8" s="27" t="s">
        <v>53</v>
      </c>
      <c r="F8" s="28">
        <v>5.53</v>
      </c>
      <c r="G8" s="37" t="s">
        <v>551</v>
      </c>
      <c r="H8" s="30">
        <v>46017</v>
      </c>
      <c r="I8" s="30"/>
      <c r="J8" s="30">
        <f t="shared" ref="J5:J13" si="0">H8+90</f>
        <v>46107</v>
      </c>
      <c r="K8" s="30">
        <v>46113</v>
      </c>
      <c r="L8" s="30">
        <v>46142</v>
      </c>
      <c r="M8" s="29">
        <v>30</v>
      </c>
      <c r="N8" s="29">
        <f t="shared" ref="N8:N13" si="1">M8*D8*F8</f>
        <v>165.9</v>
      </c>
      <c r="O8" s="40">
        <f t="shared" ref="O8:O13" si="2">L8-K8+1</f>
        <v>30</v>
      </c>
      <c r="P8" s="33">
        <f t="shared" ref="P8:P13" si="3">O8*F8*D8</f>
        <v>165.9</v>
      </c>
    </row>
    <row r="9" customHeight="1" spans="1:25">
      <c r="A9" s="27">
        <v>26</v>
      </c>
      <c r="B9" s="27" t="s">
        <v>21</v>
      </c>
      <c r="C9" s="27" t="s">
        <v>22</v>
      </c>
      <c r="D9" s="29">
        <v>1</v>
      </c>
      <c r="E9" s="27" t="s">
        <v>53</v>
      </c>
      <c r="F9" s="28">
        <v>5.53</v>
      </c>
      <c r="G9" s="37" t="s">
        <v>552</v>
      </c>
      <c r="H9" s="30">
        <v>46017</v>
      </c>
      <c r="I9" s="30"/>
      <c r="J9" s="30">
        <f t="shared" si="0"/>
        <v>46107</v>
      </c>
      <c r="K9" s="30">
        <v>46113</v>
      </c>
      <c r="L9" s="30">
        <v>46142</v>
      </c>
      <c r="M9" s="29">
        <v>30</v>
      </c>
      <c r="N9" s="29">
        <f t="shared" si="1"/>
        <v>165.9</v>
      </c>
      <c r="O9" s="40">
        <f t="shared" si="2"/>
        <v>30</v>
      </c>
      <c r="P9" s="33">
        <f t="shared" si="3"/>
        <v>165.9</v>
      </c>
    </row>
    <row r="10" customHeight="1" spans="1:25">
      <c r="A10" s="27">
        <v>26</v>
      </c>
      <c r="B10" s="27" t="s">
        <v>21</v>
      </c>
      <c r="C10" s="27" t="s">
        <v>22</v>
      </c>
      <c r="D10" s="29">
        <v>1</v>
      </c>
      <c r="E10" s="27" t="s">
        <v>53</v>
      </c>
      <c r="F10" s="28">
        <v>5.53</v>
      </c>
      <c r="G10" s="37" t="s">
        <v>553</v>
      </c>
      <c r="H10" s="30">
        <v>46017</v>
      </c>
      <c r="I10" s="30"/>
      <c r="J10" s="30">
        <f t="shared" si="0"/>
        <v>46107</v>
      </c>
      <c r="K10" s="30">
        <v>46113</v>
      </c>
      <c r="L10" s="30">
        <v>46142</v>
      </c>
      <c r="M10" s="29">
        <v>30</v>
      </c>
      <c r="N10" s="29">
        <f t="shared" si="1"/>
        <v>165.9</v>
      </c>
      <c r="O10" s="40">
        <f t="shared" si="2"/>
        <v>30</v>
      </c>
      <c r="P10" s="33">
        <f t="shared" si="3"/>
        <v>165.9</v>
      </c>
    </row>
    <row r="11" customHeight="1" spans="1:25">
      <c r="A11" s="27">
        <v>26</v>
      </c>
      <c r="B11" s="27" t="s">
        <v>21</v>
      </c>
      <c r="C11" s="27" t="s">
        <v>22</v>
      </c>
      <c r="D11" s="29">
        <v>1</v>
      </c>
      <c r="E11" s="27" t="s">
        <v>53</v>
      </c>
      <c r="F11" s="28">
        <v>5.53</v>
      </c>
      <c r="G11" s="37" t="s">
        <v>554</v>
      </c>
      <c r="H11" s="30">
        <v>46017</v>
      </c>
      <c r="I11" s="30"/>
      <c r="J11" s="30">
        <f t="shared" si="0"/>
        <v>46107</v>
      </c>
      <c r="K11" s="30">
        <v>46113</v>
      </c>
      <c r="L11" s="30">
        <v>46142</v>
      </c>
      <c r="M11" s="29">
        <v>30</v>
      </c>
      <c r="N11" s="29">
        <f t="shared" si="1"/>
        <v>165.9</v>
      </c>
      <c r="O11" s="40">
        <f t="shared" si="2"/>
        <v>30</v>
      </c>
      <c r="P11" s="33">
        <f t="shared" si="3"/>
        <v>165.9</v>
      </c>
    </row>
    <row r="12" customHeight="1" spans="1:25">
      <c r="A12" s="27">
        <v>26</v>
      </c>
      <c r="B12" s="27" t="s">
        <v>21</v>
      </c>
      <c r="C12" s="27" t="s">
        <v>22</v>
      </c>
      <c r="D12" s="29">
        <v>1</v>
      </c>
      <c r="E12" s="27" t="s">
        <v>53</v>
      </c>
      <c r="F12" s="28">
        <v>5.53</v>
      </c>
      <c r="G12" s="37" t="s">
        <v>555</v>
      </c>
      <c r="H12" s="30">
        <v>46017</v>
      </c>
      <c r="I12" s="30"/>
      <c r="J12" s="30">
        <f t="shared" si="0"/>
        <v>46107</v>
      </c>
      <c r="K12" s="30">
        <v>46113</v>
      </c>
      <c r="L12" s="30">
        <v>46142</v>
      </c>
      <c r="M12" s="29">
        <v>30</v>
      </c>
      <c r="N12" s="29">
        <f t="shared" si="1"/>
        <v>165.9</v>
      </c>
      <c r="O12" s="40">
        <f t="shared" si="2"/>
        <v>30</v>
      </c>
      <c r="P12" s="33">
        <f t="shared" si="3"/>
        <v>165.9</v>
      </c>
    </row>
    <row r="13" customHeight="1" spans="1:25">
      <c r="A13" s="27">
        <v>26</v>
      </c>
      <c r="B13" s="27" t="s">
        <v>21</v>
      </c>
      <c r="C13" s="27" t="s">
        <v>22</v>
      </c>
      <c r="D13" s="29">
        <v>1</v>
      </c>
      <c r="E13" s="27" t="s">
        <v>53</v>
      </c>
      <c r="F13" s="28">
        <v>5.53</v>
      </c>
      <c r="G13" s="37" t="s">
        <v>556</v>
      </c>
      <c r="H13" s="30">
        <v>46017</v>
      </c>
      <c r="I13" s="30"/>
      <c r="J13" s="30">
        <f t="shared" si="0"/>
        <v>46107</v>
      </c>
      <c r="K13" s="30">
        <v>46113</v>
      </c>
      <c r="L13" s="30">
        <v>46142</v>
      </c>
      <c r="M13" s="29">
        <v>30</v>
      </c>
      <c r="N13" s="29">
        <f t="shared" si="1"/>
        <v>165.9</v>
      </c>
      <c r="O13" s="40">
        <f t="shared" si="2"/>
        <v>30</v>
      </c>
      <c r="P13" s="33">
        <f t="shared" si="3"/>
        <v>165.9</v>
      </c>
    </row>
    <row r="14" s="21" customFormat="1" customHeight="1" spans="1:25">
      <c r="A14" s="29" t="s">
        <v>126</v>
      </c>
      <c r="B14" s="29"/>
      <c r="C14" s="29"/>
      <c r="D14" s="29">
        <f>SUM(D8:D13)</f>
        <v>6</v>
      </c>
      <c r="E14" s="29" t="s">
        <v>127</v>
      </c>
      <c r="F14" s="29"/>
      <c r="G14" s="29"/>
      <c r="H14" s="29"/>
      <c r="I14" s="29"/>
      <c r="J14" s="29"/>
      <c r="K14" s="29"/>
      <c r="L14" s="29"/>
      <c r="M14" s="29"/>
      <c r="N14" s="33">
        <f>SUM(N8:N13)</f>
        <v>995.4</v>
      </c>
      <c r="O14" s="147"/>
      <c r="P14" s="33">
        <f>SUM(P8:P13)</f>
        <v>995.4</v>
      </c>
    </row>
    <row r="15" s="21" customFormat="1" customHeight="1" spans="1:25">
      <c r="A15" s="81"/>
      <c r="B15" s="82"/>
      <c r="C15" s="82"/>
      <c r="D15" s="82"/>
      <c r="E15" s="82"/>
      <c r="F15" s="82"/>
      <c r="G15" s="82"/>
      <c r="H15" s="82"/>
      <c r="I15" s="82"/>
      <c r="J15" s="82"/>
      <c r="K15" s="82"/>
      <c r="L15" s="82"/>
      <c r="M15" s="82"/>
      <c r="N15" s="82"/>
      <c r="O15" s="82"/>
      <c r="P15" s="82"/>
    </row>
    <row r="16" s="21" customFormat="1" customHeight="1" spans="1:25">
      <c r="A16" s="62" t="s">
        <v>16</v>
      </c>
      <c r="B16" s="62" t="s">
        <v>17</v>
      </c>
      <c r="C16" s="62" t="s">
        <v>18</v>
      </c>
      <c r="D16" s="62" t="s">
        <v>65</v>
      </c>
      <c r="E16" s="62" t="s">
        <v>46</v>
      </c>
      <c r="F16" s="62" t="s">
        <v>66</v>
      </c>
      <c r="G16" s="25" t="s">
        <v>322</v>
      </c>
      <c r="H16" s="62" t="s">
        <v>43</v>
      </c>
      <c r="I16" s="62" t="s">
        <v>68</v>
      </c>
      <c r="J16" s="35" t="s">
        <v>69</v>
      </c>
      <c r="K16" s="62" t="s">
        <v>328</v>
      </c>
      <c r="L16" s="62" t="s">
        <v>71</v>
      </c>
      <c r="M16" s="26" t="s">
        <v>72</v>
      </c>
      <c r="N16" s="26" t="s">
        <v>73</v>
      </c>
      <c r="O16" s="35" t="s">
        <v>74</v>
      </c>
      <c r="P16" s="62" t="s">
        <v>75</v>
      </c>
    </row>
    <row r="17" s="21" customFormat="1" customHeight="1" spans="1:16">
      <c r="A17" s="14">
        <v>5</v>
      </c>
      <c r="B17" s="14" t="s">
        <v>25</v>
      </c>
      <c r="C17" s="14" t="s">
        <v>29</v>
      </c>
      <c r="D17" s="14">
        <v>2</v>
      </c>
      <c r="E17" s="14" t="s">
        <v>53</v>
      </c>
      <c r="F17" s="63">
        <v>166.3</v>
      </c>
      <c r="G17" s="148" t="s">
        <v>557</v>
      </c>
      <c r="H17" s="15">
        <v>46101</v>
      </c>
      <c r="I17" s="15"/>
      <c r="J17" s="15">
        <f>H17+90</f>
        <v>46191</v>
      </c>
      <c r="K17" s="64">
        <v>46113</v>
      </c>
      <c r="L17" s="64">
        <v>46142</v>
      </c>
      <c r="M17" s="29">
        <v>30</v>
      </c>
      <c r="N17" s="29">
        <f>M17*D17*F17</f>
        <v>9978</v>
      </c>
      <c r="O17" s="107">
        <v>0</v>
      </c>
      <c r="P17" s="67">
        <f>D17*F17*O17</f>
        <v>0</v>
      </c>
    </row>
    <row r="18" s="21" customFormat="1" customHeight="1" spans="1:16">
      <c r="A18" s="149" t="s">
        <v>126</v>
      </c>
      <c r="B18" s="149"/>
      <c r="C18" s="149"/>
      <c r="D18" s="149">
        <f>SUM(D17)</f>
        <v>2</v>
      </c>
      <c r="E18" s="149" t="s">
        <v>127</v>
      </c>
      <c r="F18" s="149"/>
      <c r="G18" s="149"/>
      <c r="H18" s="149"/>
      <c r="I18" s="149"/>
      <c r="J18" s="149"/>
      <c r="K18" s="149"/>
      <c r="L18" s="149"/>
      <c r="M18" s="149"/>
      <c r="N18" s="150">
        <f>SUM(N17)</f>
        <v>9978</v>
      </c>
      <c r="O18" s="151"/>
      <c r="P18" s="150">
        <f>SUM(P17)</f>
        <v>0</v>
      </c>
    </row>
    <row r="19" s="21" customFormat="1" customHeight="1" spans="1:16">
      <c r="A19" s="152"/>
      <c r="B19" s="82"/>
      <c r="C19" s="82"/>
      <c r="D19" s="82"/>
      <c r="E19" s="82"/>
      <c r="F19" s="82"/>
      <c r="G19" s="82"/>
      <c r="H19" s="82"/>
      <c r="I19" s="82"/>
      <c r="J19" s="82"/>
      <c r="K19" s="82"/>
      <c r="L19" s="82"/>
      <c r="M19" s="82"/>
      <c r="N19" s="82"/>
      <c r="O19" s="82"/>
      <c r="P19" s="82"/>
    </row>
    <row r="20" s="21" customFormat="1" customHeight="1" spans="1:16">
      <c r="A20" s="25" t="s">
        <v>16</v>
      </c>
      <c r="B20" s="25" t="s">
        <v>17</v>
      </c>
      <c r="C20" s="25" t="s">
        <v>18</v>
      </c>
      <c r="D20" s="25" t="s">
        <v>65</v>
      </c>
      <c r="E20" s="25" t="s">
        <v>46</v>
      </c>
      <c r="F20" s="25" t="s">
        <v>66</v>
      </c>
      <c r="G20" s="25" t="s">
        <v>322</v>
      </c>
      <c r="H20" s="25" t="s">
        <v>43</v>
      </c>
      <c r="I20" s="25" t="s">
        <v>68</v>
      </c>
      <c r="J20" s="25" t="s">
        <v>69</v>
      </c>
      <c r="K20" s="25" t="s">
        <v>328</v>
      </c>
      <c r="L20" s="25" t="s">
        <v>71</v>
      </c>
      <c r="M20" s="26" t="s">
        <v>72</v>
      </c>
      <c r="N20" s="26" t="s">
        <v>73</v>
      </c>
      <c r="O20" s="25" t="s">
        <v>74</v>
      </c>
      <c r="P20" s="25" t="s">
        <v>75</v>
      </c>
    </row>
    <row r="21" s="44" customFormat="1" customHeight="1" spans="1:16">
      <c r="A21" s="29">
        <v>35</v>
      </c>
      <c r="B21" s="29" t="s">
        <v>51</v>
      </c>
      <c r="C21" s="29" t="s">
        <v>54</v>
      </c>
      <c r="D21" s="29">
        <v>1</v>
      </c>
      <c r="E21" s="29" t="s">
        <v>53</v>
      </c>
      <c r="F21" s="29">
        <v>1.95</v>
      </c>
      <c r="G21" s="153" t="s">
        <v>557</v>
      </c>
      <c r="H21" s="38">
        <v>46101</v>
      </c>
      <c r="I21" s="38"/>
      <c r="J21" s="38">
        <f>H21+90</f>
        <v>46191</v>
      </c>
      <c r="K21" s="30">
        <v>46113</v>
      </c>
      <c r="L21" s="30">
        <v>46142</v>
      </c>
      <c r="M21" s="29">
        <v>30</v>
      </c>
      <c r="N21" s="29">
        <f>M21*D21*F21</f>
        <v>58.5</v>
      </c>
      <c r="O21" s="29">
        <v>0</v>
      </c>
      <c r="P21" s="29">
        <v>0</v>
      </c>
    </row>
    <row r="22" s="21" customFormat="1" customHeight="1" spans="1:16">
      <c r="A22" s="29" t="s">
        <v>126</v>
      </c>
      <c r="B22" s="29"/>
      <c r="C22" s="29"/>
      <c r="D22" s="29">
        <f>SUM(D21)</f>
        <v>1</v>
      </c>
      <c r="E22" s="29" t="s">
        <v>127</v>
      </c>
      <c r="F22" s="29"/>
      <c r="G22" s="29"/>
      <c r="H22" s="29"/>
      <c r="I22" s="29"/>
      <c r="J22" s="29"/>
      <c r="K22" s="29"/>
      <c r="L22" s="29"/>
      <c r="M22" s="29"/>
      <c r="N22" s="33">
        <f>SUM(N21)</f>
        <v>58.5</v>
      </c>
      <c r="O22" s="147"/>
      <c r="P22" s="33">
        <f>SUM(P21)</f>
        <v>0</v>
      </c>
    </row>
    <row r="24" customHeight="1" spans="1:16">
      <c r="A24" s="48" t="s">
        <v>16</v>
      </c>
      <c r="B24" s="48" t="s">
        <v>17</v>
      </c>
      <c r="C24" s="48" t="s">
        <v>18</v>
      </c>
      <c r="D24" s="48" t="s">
        <v>65</v>
      </c>
      <c r="E24" s="48" t="s">
        <v>46</v>
      </c>
      <c r="F24" s="48" t="s">
        <v>75</v>
      </c>
      <c r="G24" s="48"/>
      <c r="H24" s="48"/>
      <c r="I24" s="48"/>
      <c r="J24" s="48"/>
      <c r="K24" s="48"/>
      <c r="L24" s="48"/>
      <c r="M24" s="48"/>
      <c r="N24" s="48"/>
      <c r="O24" s="48"/>
      <c r="P24" s="48"/>
    </row>
    <row r="25" customHeight="1" spans="1:16">
      <c r="A25" s="27">
        <v>50</v>
      </c>
      <c r="B25" s="27" t="s">
        <v>30</v>
      </c>
      <c r="C25" s="27" t="s">
        <v>31</v>
      </c>
      <c r="D25" s="32">
        <v>1</v>
      </c>
      <c r="E25" s="27" t="s">
        <v>53</v>
      </c>
      <c r="F25" s="32">
        <f>P4</f>
        <v>0</v>
      </c>
      <c r="G25" s="32"/>
      <c r="H25" s="32"/>
      <c r="I25" s="32"/>
      <c r="J25" s="32"/>
      <c r="K25" s="32"/>
      <c r="L25" s="32"/>
      <c r="M25" s="32"/>
      <c r="N25" s="32"/>
      <c r="O25" s="32"/>
      <c r="P25" s="32"/>
    </row>
    <row r="26" customHeight="1" spans="1:16">
      <c r="A26" s="27">
        <v>26</v>
      </c>
      <c r="B26" s="27" t="s">
        <v>21</v>
      </c>
      <c r="C26" s="27" t="s">
        <v>22</v>
      </c>
      <c r="D26" s="32">
        <v>6</v>
      </c>
      <c r="E26" s="27" t="s">
        <v>53</v>
      </c>
      <c r="F26" s="32">
        <f>SUM(P8:P13)</f>
        <v>995.4</v>
      </c>
      <c r="G26" s="32"/>
      <c r="H26" s="32"/>
      <c r="I26" s="32"/>
      <c r="J26" s="32"/>
      <c r="K26" s="32"/>
      <c r="L26" s="32"/>
      <c r="M26" s="32"/>
      <c r="N26" s="32"/>
      <c r="O26" s="32"/>
      <c r="P26" s="32"/>
    </row>
    <row r="27" customHeight="1" spans="1:16">
      <c r="A27" s="19">
        <v>35</v>
      </c>
      <c r="B27" s="19" t="s">
        <v>51</v>
      </c>
      <c r="C27" s="19" t="s">
        <v>54</v>
      </c>
      <c r="D27" s="19">
        <v>2</v>
      </c>
      <c r="E27" s="19" t="s">
        <v>53</v>
      </c>
      <c r="F27" s="55">
        <f>P22</f>
        <v>0</v>
      </c>
      <c r="G27" s="154"/>
      <c r="H27" s="154"/>
      <c r="I27" s="154"/>
      <c r="J27" s="154"/>
      <c r="K27" s="154"/>
      <c r="L27" s="154"/>
      <c r="M27" s="154"/>
      <c r="N27" s="154"/>
      <c r="O27" s="154"/>
      <c r="P27" s="155"/>
    </row>
    <row r="28" customHeight="1" spans="1:16">
      <c r="A28" s="156">
        <v>5</v>
      </c>
      <c r="B28" s="156" t="s">
        <v>25</v>
      </c>
      <c r="C28" s="14" t="s">
        <v>29</v>
      </c>
      <c r="D28" s="156">
        <v>2</v>
      </c>
      <c r="E28" s="156" t="s">
        <v>53</v>
      </c>
      <c r="F28" s="55">
        <f>P18</f>
        <v>0</v>
      </c>
      <c r="G28" s="154"/>
      <c r="H28" s="154"/>
      <c r="I28" s="154"/>
      <c r="J28" s="154"/>
      <c r="K28" s="154"/>
      <c r="L28" s="154"/>
      <c r="M28" s="154"/>
      <c r="N28" s="154"/>
      <c r="O28" s="154"/>
      <c r="P28" s="155"/>
    </row>
    <row r="29" customHeight="1" spans="1:16">
      <c r="A29" s="32" t="s">
        <v>146</v>
      </c>
      <c r="B29" s="32"/>
      <c r="C29" s="32"/>
      <c r="D29" s="32"/>
      <c r="E29" s="32"/>
      <c r="F29" s="56">
        <f>SUM(F25:P27)</f>
        <v>995.4</v>
      </c>
      <c r="G29" s="56"/>
      <c r="H29" s="56"/>
      <c r="I29" s="56"/>
      <c r="J29" s="56"/>
      <c r="K29" s="56"/>
      <c r="L29" s="56"/>
      <c r="M29" s="56"/>
      <c r="N29" s="56"/>
      <c r="O29" s="56"/>
      <c r="P29" s="56"/>
    </row>
  </sheetData>
  <mergeCells count="19">
    <mergeCell ref="A1:P1"/>
    <mergeCell ref="A4:C4"/>
    <mergeCell ref="E4:M4"/>
    <mergeCell ref="A6:P6"/>
    <mergeCell ref="A14:C14"/>
    <mergeCell ref="E14:M14"/>
    <mergeCell ref="A15:P15"/>
    <mergeCell ref="A18:C18"/>
    <mergeCell ref="E18:M18"/>
    <mergeCell ref="A19:P19"/>
    <mergeCell ref="A22:C22"/>
    <mergeCell ref="E22:M22"/>
    <mergeCell ref="F24:P24"/>
    <mergeCell ref="F25:P25"/>
    <mergeCell ref="F26:P26"/>
    <mergeCell ref="F27:P27"/>
    <mergeCell ref="F28:P28"/>
    <mergeCell ref="A29:E29"/>
    <mergeCell ref="F29:P29"/>
  </mergeCells>
  <hyperlinks>
    <hyperlink ref="G21" r:id="rId1" display="170.17.7.17"/>
  </hyperlink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33"/>
  <sheetViews>
    <sheetView zoomScale="55" zoomScaleNormal="55" topLeftCell="A7" workbookViewId="0">
      <selection activeCell="F32" sqref="F32:P32"/>
    </sheetView>
  </sheetViews>
  <sheetFormatPr defaultColWidth="10" defaultRowHeight="28" customHeight="1"/>
  <cols>
    <col min="1" max="1" width="10.8984375" style="115" customWidth="1"/>
    <col min="2" max="2" width="11.8671875" style="115" customWidth="1"/>
    <col min="3" max="3" width="16.7421875" style="115" customWidth="1"/>
    <col min="4" max="4" width="7.5" style="115" customWidth="1"/>
    <col min="5" max="5" width="12.6640625" style="115" customWidth="1"/>
    <col min="6" max="6" width="7.5" style="115" customWidth="1"/>
    <col min="7" max="7" width="15.7578125" style="115" customWidth="1"/>
    <col min="8" max="10" width="14" style="115" customWidth="1"/>
    <col min="11" max="11" width="9.1640625" style="115" customWidth="1"/>
    <col min="12" max="16" width="16.625" style="115" customWidth="1"/>
    <col min="17" max="18" width="8.2109375" style="115" customWidth="1"/>
    <col min="19" max="19" width="7.5" style="115" customWidth="1"/>
    <col min="20" max="20" width="9.1640625" style="115" customWidth="1"/>
    <col min="21" max="21" width="11.8359375" style="115" customWidth="1"/>
    <col min="22" max="16384" width="10" style="116"/>
  </cols>
  <sheetData>
    <row r="1" s="114" customFormat="1" customHeight="1" spans="1:25">
      <c r="A1" s="117" t="s">
        <v>558</v>
      </c>
      <c r="B1" s="117"/>
      <c r="C1" s="117"/>
      <c r="D1" s="117"/>
      <c r="E1" s="117"/>
      <c r="F1" s="117"/>
      <c r="G1" s="117"/>
      <c r="H1" s="117"/>
      <c r="I1" s="117"/>
      <c r="J1" s="117"/>
      <c r="K1" s="117"/>
      <c r="L1" s="117"/>
      <c r="M1" s="117"/>
      <c r="N1" s="117"/>
      <c r="O1" s="115"/>
      <c r="P1" s="115"/>
      <c r="Q1" s="115"/>
      <c r="R1" s="115"/>
      <c r="S1" s="115"/>
      <c r="T1" s="115"/>
      <c r="U1" s="115"/>
      <c r="V1" s="115"/>
      <c r="W1" s="115"/>
      <c r="X1" s="115"/>
      <c r="Y1" s="115"/>
    </row>
    <row r="2" s="114" customFormat="1" customHeight="1" spans="1:25">
      <c r="A2" s="118" t="s">
        <v>16</v>
      </c>
      <c r="B2" s="118" t="s">
        <v>17</v>
      </c>
      <c r="C2" s="118" t="s">
        <v>18</v>
      </c>
      <c r="D2" s="118" t="s">
        <v>65</v>
      </c>
      <c r="E2" s="118" t="s">
        <v>46</v>
      </c>
      <c r="F2" s="118" t="s">
        <v>66</v>
      </c>
      <c r="G2" s="118" t="s">
        <v>67</v>
      </c>
      <c r="H2" s="118" t="s">
        <v>43</v>
      </c>
      <c r="I2" s="118" t="s">
        <v>68</v>
      </c>
      <c r="J2" s="119" t="s">
        <v>69</v>
      </c>
      <c r="K2" s="118" t="s">
        <v>328</v>
      </c>
      <c r="L2" s="120" t="s">
        <v>71</v>
      </c>
      <c r="M2" s="121" t="s">
        <v>72</v>
      </c>
      <c r="N2" s="121" t="s">
        <v>73</v>
      </c>
      <c r="O2" s="119" t="s">
        <v>329</v>
      </c>
      <c r="P2" s="118" t="s">
        <v>75</v>
      </c>
      <c r="Q2" s="115"/>
      <c r="R2" s="115"/>
      <c r="S2" s="115"/>
      <c r="T2" s="115"/>
      <c r="U2" s="115"/>
      <c r="V2" s="115"/>
      <c r="W2" s="115"/>
      <c r="X2" s="115"/>
      <c r="Y2" s="115"/>
    </row>
    <row r="3" customHeight="1" spans="1:25">
      <c r="A3" s="122">
        <v>35</v>
      </c>
      <c r="B3" s="122" t="s">
        <v>51</v>
      </c>
      <c r="C3" s="122" t="s">
        <v>54</v>
      </c>
      <c r="D3" s="123">
        <v>1</v>
      </c>
      <c r="E3" s="123" t="s">
        <v>53</v>
      </c>
      <c r="F3" s="123">
        <v>1.95</v>
      </c>
      <c r="G3" s="116" t="s">
        <v>559</v>
      </c>
      <c r="H3" s="124">
        <v>46058</v>
      </c>
      <c r="I3" s="124"/>
      <c r="J3" s="124">
        <f>H3+90</f>
        <v>46148</v>
      </c>
      <c r="K3" s="125">
        <v>46113</v>
      </c>
      <c r="L3" s="125">
        <v>46142</v>
      </c>
      <c r="M3" s="123">
        <v>30</v>
      </c>
      <c r="N3" s="126">
        <f t="shared" ref="N3:N11" si="0">M3*D3*F3</f>
        <v>58.5</v>
      </c>
      <c r="O3" s="127">
        <v>0</v>
      </c>
      <c r="P3" s="123">
        <v>0</v>
      </c>
    </row>
    <row r="4" customHeight="1" spans="1:25">
      <c r="A4" s="122">
        <v>35</v>
      </c>
      <c r="B4" s="122" t="s">
        <v>51</v>
      </c>
      <c r="C4" s="122" t="s">
        <v>54</v>
      </c>
      <c r="D4" s="123">
        <v>1</v>
      </c>
      <c r="E4" s="123" t="s">
        <v>53</v>
      </c>
      <c r="F4" s="123">
        <v>1.95</v>
      </c>
      <c r="G4" s="116" t="s">
        <v>560</v>
      </c>
      <c r="H4" s="124">
        <v>46058</v>
      </c>
      <c r="I4" s="124"/>
      <c r="J4" s="124">
        <f t="shared" ref="J4:J11" si="1">H4+90</f>
        <v>46148</v>
      </c>
      <c r="K4" s="125">
        <v>46113</v>
      </c>
      <c r="L4" s="125">
        <v>46142</v>
      </c>
      <c r="M4" s="123">
        <v>30</v>
      </c>
      <c r="N4" s="126">
        <f t="shared" si="0"/>
        <v>58.5</v>
      </c>
      <c r="O4" s="127">
        <v>0</v>
      </c>
      <c r="P4" s="123">
        <v>0</v>
      </c>
    </row>
    <row r="5" customHeight="1" spans="1:25">
      <c r="A5" s="122">
        <v>35</v>
      </c>
      <c r="B5" s="122" t="s">
        <v>51</v>
      </c>
      <c r="C5" s="122" t="s">
        <v>54</v>
      </c>
      <c r="D5" s="123">
        <v>1</v>
      </c>
      <c r="E5" s="123" t="s">
        <v>53</v>
      </c>
      <c r="F5" s="123">
        <v>1.95</v>
      </c>
      <c r="G5" s="116" t="s">
        <v>561</v>
      </c>
      <c r="H5" s="124">
        <v>46058</v>
      </c>
      <c r="I5" s="124"/>
      <c r="J5" s="124">
        <f t="shared" si="1"/>
        <v>46148</v>
      </c>
      <c r="K5" s="125">
        <v>46113</v>
      </c>
      <c r="L5" s="125">
        <v>46142</v>
      </c>
      <c r="M5" s="123">
        <v>30</v>
      </c>
      <c r="N5" s="126">
        <f t="shared" si="0"/>
        <v>58.5</v>
      </c>
      <c r="O5" s="127">
        <v>0</v>
      </c>
      <c r="P5" s="123">
        <v>0</v>
      </c>
    </row>
    <row r="6" customHeight="1" spans="1:25">
      <c r="A6" s="122">
        <v>35</v>
      </c>
      <c r="B6" s="122" t="s">
        <v>51</v>
      </c>
      <c r="C6" s="122" t="s">
        <v>54</v>
      </c>
      <c r="D6" s="123">
        <v>1</v>
      </c>
      <c r="E6" s="123" t="s">
        <v>53</v>
      </c>
      <c r="F6" s="123">
        <v>1.95</v>
      </c>
      <c r="G6" s="116" t="s">
        <v>562</v>
      </c>
      <c r="H6" s="124">
        <v>46058</v>
      </c>
      <c r="I6" s="124"/>
      <c r="J6" s="124">
        <f t="shared" si="1"/>
        <v>46148</v>
      </c>
      <c r="K6" s="125">
        <v>46113</v>
      </c>
      <c r="L6" s="125">
        <v>46142</v>
      </c>
      <c r="M6" s="123">
        <v>30</v>
      </c>
      <c r="N6" s="126">
        <f t="shared" si="0"/>
        <v>58.5</v>
      </c>
      <c r="O6" s="127">
        <v>0</v>
      </c>
      <c r="P6" s="123">
        <v>0</v>
      </c>
    </row>
    <row r="7" customHeight="1" spans="1:25">
      <c r="A7" s="122">
        <v>35</v>
      </c>
      <c r="B7" s="122" t="s">
        <v>51</v>
      </c>
      <c r="C7" s="122" t="s">
        <v>54</v>
      </c>
      <c r="D7" s="123">
        <v>1</v>
      </c>
      <c r="E7" s="123" t="s">
        <v>53</v>
      </c>
      <c r="F7" s="123">
        <v>1.95</v>
      </c>
      <c r="G7" s="116" t="s">
        <v>563</v>
      </c>
      <c r="H7" s="124">
        <v>46058</v>
      </c>
      <c r="I7" s="124"/>
      <c r="J7" s="124">
        <f t="shared" si="1"/>
        <v>46148</v>
      </c>
      <c r="K7" s="125">
        <v>46113</v>
      </c>
      <c r="L7" s="125">
        <v>46142</v>
      </c>
      <c r="M7" s="123">
        <v>30</v>
      </c>
      <c r="N7" s="126">
        <f t="shared" si="0"/>
        <v>58.5</v>
      </c>
      <c r="O7" s="127">
        <v>0</v>
      </c>
      <c r="P7" s="123">
        <v>0</v>
      </c>
    </row>
    <row r="8" customHeight="1" spans="1:25">
      <c r="A8" s="122">
        <v>35</v>
      </c>
      <c r="B8" s="122" t="s">
        <v>51</v>
      </c>
      <c r="C8" s="122" t="s">
        <v>54</v>
      </c>
      <c r="D8" s="123">
        <v>1</v>
      </c>
      <c r="E8" s="123" t="s">
        <v>53</v>
      </c>
      <c r="F8" s="123">
        <v>1.95</v>
      </c>
      <c r="G8" s="116" t="s">
        <v>564</v>
      </c>
      <c r="H8" s="124">
        <v>46058</v>
      </c>
      <c r="I8" s="124"/>
      <c r="J8" s="124">
        <f t="shared" si="1"/>
        <v>46148</v>
      </c>
      <c r="K8" s="125">
        <v>46113</v>
      </c>
      <c r="L8" s="125">
        <v>46142</v>
      </c>
      <c r="M8" s="123">
        <v>30</v>
      </c>
      <c r="N8" s="126">
        <f t="shared" si="0"/>
        <v>58.5</v>
      </c>
      <c r="O8" s="127">
        <v>0</v>
      </c>
      <c r="P8" s="123">
        <v>0</v>
      </c>
    </row>
    <row r="9" customHeight="1" spans="1:25">
      <c r="A9" s="122">
        <v>35</v>
      </c>
      <c r="B9" s="122" t="s">
        <v>51</v>
      </c>
      <c r="C9" s="122" t="s">
        <v>54</v>
      </c>
      <c r="D9" s="123">
        <v>1</v>
      </c>
      <c r="E9" s="123" t="s">
        <v>53</v>
      </c>
      <c r="F9" s="123">
        <v>1.95</v>
      </c>
      <c r="G9" s="116" t="s">
        <v>565</v>
      </c>
      <c r="H9" s="124">
        <v>46058</v>
      </c>
      <c r="I9" s="124"/>
      <c r="J9" s="124">
        <f t="shared" si="1"/>
        <v>46148</v>
      </c>
      <c r="K9" s="125">
        <v>46113</v>
      </c>
      <c r="L9" s="125">
        <v>46142</v>
      </c>
      <c r="M9" s="123">
        <v>30</v>
      </c>
      <c r="N9" s="126">
        <f t="shared" si="0"/>
        <v>58.5</v>
      </c>
      <c r="O9" s="127">
        <v>0</v>
      </c>
      <c r="P9" s="123">
        <v>0</v>
      </c>
    </row>
    <row r="10" customHeight="1" spans="1:25">
      <c r="A10" s="122">
        <v>35</v>
      </c>
      <c r="B10" s="122" t="s">
        <v>51</v>
      </c>
      <c r="C10" s="122" t="s">
        <v>54</v>
      </c>
      <c r="D10" s="123">
        <v>1</v>
      </c>
      <c r="E10" s="123" t="s">
        <v>53</v>
      </c>
      <c r="F10" s="123">
        <v>1.95</v>
      </c>
      <c r="G10" s="116" t="s">
        <v>566</v>
      </c>
      <c r="H10" s="124">
        <v>46058</v>
      </c>
      <c r="I10" s="124"/>
      <c r="J10" s="124">
        <f t="shared" si="1"/>
        <v>46148</v>
      </c>
      <c r="K10" s="125">
        <v>46113</v>
      </c>
      <c r="L10" s="125">
        <v>46142</v>
      </c>
      <c r="M10" s="123">
        <v>30</v>
      </c>
      <c r="N10" s="126">
        <f t="shared" si="0"/>
        <v>58.5</v>
      </c>
      <c r="O10" s="127">
        <v>0</v>
      </c>
      <c r="P10" s="123">
        <v>0</v>
      </c>
    </row>
    <row r="11" customHeight="1" spans="1:25">
      <c r="A11" s="122">
        <v>35</v>
      </c>
      <c r="B11" s="122" t="s">
        <v>51</v>
      </c>
      <c r="C11" s="122" t="s">
        <v>54</v>
      </c>
      <c r="D11" s="123">
        <v>1</v>
      </c>
      <c r="E11" s="123" t="s">
        <v>53</v>
      </c>
      <c r="F11" s="123">
        <v>1.95</v>
      </c>
      <c r="G11" s="116" t="s">
        <v>567</v>
      </c>
      <c r="H11" s="124">
        <v>46058</v>
      </c>
      <c r="I11" s="124"/>
      <c r="J11" s="124">
        <f t="shared" si="1"/>
        <v>46148</v>
      </c>
      <c r="K11" s="125">
        <v>46113</v>
      </c>
      <c r="L11" s="125">
        <v>46142</v>
      </c>
      <c r="M11" s="123">
        <v>30</v>
      </c>
      <c r="N11" s="126">
        <f t="shared" si="0"/>
        <v>58.5</v>
      </c>
      <c r="O11" s="127">
        <v>0</v>
      </c>
      <c r="P11" s="123">
        <v>0</v>
      </c>
    </row>
    <row r="12" s="114" customFormat="1" customHeight="1" spans="1:25">
      <c r="A12" s="126" t="s">
        <v>126</v>
      </c>
      <c r="B12" s="126"/>
      <c r="C12" s="126"/>
      <c r="D12" s="126">
        <f>SUM(D3:D11)</f>
        <v>9</v>
      </c>
      <c r="E12" s="126" t="s">
        <v>127</v>
      </c>
      <c r="F12" s="126"/>
      <c r="G12" s="126"/>
      <c r="H12" s="126"/>
      <c r="I12" s="126"/>
      <c r="J12" s="126"/>
      <c r="K12" s="126"/>
      <c r="L12" s="126"/>
      <c r="M12" s="126"/>
      <c r="N12" s="128">
        <f>SUM(N3:N11)</f>
        <v>526.5</v>
      </c>
      <c r="O12" s="129"/>
      <c r="P12" s="128">
        <f>SUM(P3:P11)</f>
        <v>0</v>
      </c>
    </row>
    <row r="14" customHeight="1" spans="1:25">
      <c r="A14" s="130">
        <v>46113</v>
      </c>
      <c r="B14" s="123" t="s">
        <v>128</v>
      </c>
      <c r="C14" s="123">
        <v>3</v>
      </c>
    </row>
    <row r="15" customHeight="1" spans="1:25">
      <c r="A15" s="123"/>
      <c r="B15" s="123" t="s">
        <v>129</v>
      </c>
      <c r="C15" s="123">
        <v>0</v>
      </c>
    </row>
    <row r="17" s="114" customFormat="1" customHeight="1" spans="1:23">
      <c r="A17" s="131" t="s">
        <v>568</v>
      </c>
      <c r="B17" s="132"/>
      <c r="C17" s="132"/>
      <c r="D17" s="132"/>
      <c r="E17" s="132"/>
      <c r="F17" s="132"/>
      <c r="G17" s="132"/>
      <c r="H17" s="132"/>
      <c r="I17" s="132"/>
      <c r="J17" s="132"/>
      <c r="K17" s="132"/>
      <c r="L17" s="132"/>
      <c r="M17" s="132"/>
      <c r="N17" s="132"/>
      <c r="O17" s="132"/>
      <c r="P17" s="132"/>
      <c r="Q17" s="115"/>
      <c r="R17" s="115"/>
      <c r="S17" s="115"/>
    </row>
    <row r="18" s="114" customFormat="1" customHeight="1" spans="1:23">
      <c r="A18" s="118" t="s">
        <v>16</v>
      </c>
      <c r="B18" s="118" t="s">
        <v>17</v>
      </c>
      <c r="C18" s="118" t="s">
        <v>18</v>
      </c>
      <c r="D18" s="118" t="s">
        <v>65</v>
      </c>
      <c r="E18" s="118" t="s">
        <v>46</v>
      </c>
      <c r="F18" s="118" t="s">
        <v>66</v>
      </c>
      <c r="G18" s="118" t="s">
        <v>322</v>
      </c>
      <c r="H18" s="118" t="s">
        <v>43</v>
      </c>
      <c r="I18" s="118" t="s">
        <v>68</v>
      </c>
      <c r="J18" s="119" t="s">
        <v>69</v>
      </c>
      <c r="K18" s="118" t="s">
        <v>328</v>
      </c>
      <c r="L18" s="120" t="s">
        <v>71</v>
      </c>
      <c r="M18" s="121" t="s">
        <v>72</v>
      </c>
      <c r="N18" s="121" t="s">
        <v>73</v>
      </c>
      <c r="O18" s="119" t="s">
        <v>329</v>
      </c>
      <c r="P18" s="118" t="s">
        <v>75</v>
      </c>
      <c r="Q18" s="118" t="s">
        <v>67</v>
      </c>
      <c r="R18" s="118"/>
      <c r="S18" s="115"/>
      <c r="T18" s="115"/>
      <c r="U18" s="115"/>
      <c r="V18" s="115"/>
      <c r="W18" s="115"/>
    </row>
    <row r="19" customHeight="1" spans="1:23">
      <c r="A19" s="122">
        <v>26</v>
      </c>
      <c r="B19" s="122" t="s">
        <v>21</v>
      </c>
      <c r="C19" s="133" t="s">
        <v>34</v>
      </c>
      <c r="D19" s="123">
        <v>1</v>
      </c>
      <c r="E19" s="122" t="s">
        <v>53</v>
      </c>
      <c r="F19" s="134"/>
      <c r="G19" s="135" t="s">
        <v>559</v>
      </c>
      <c r="H19" s="124">
        <v>46058</v>
      </c>
      <c r="I19" s="124"/>
      <c r="J19" s="124">
        <f>H19+90</f>
        <v>46148</v>
      </c>
      <c r="K19" s="125">
        <v>46113</v>
      </c>
      <c r="L19" s="125">
        <v>46142</v>
      </c>
      <c r="M19" s="123">
        <v>30</v>
      </c>
      <c r="N19" s="126">
        <f t="shared" ref="N19:N27" si="2">M19*D19*F19</f>
        <v>0</v>
      </c>
      <c r="O19" s="127">
        <v>0</v>
      </c>
      <c r="P19" s="136">
        <f t="shared" ref="P19:P27" si="3">D19*F19*O19</f>
        <v>0</v>
      </c>
      <c r="Q19" s="135" t="s">
        <v>569</v>
      </c>
      <c r="R19" s="133" t="s">
        <v>570</v>
      </c>
    </row>
    <row r="20" customHeight="1" spans="1:23">
      <c r="A20" s="122">
        <v>26</v>
      </c>
      <c r="B20" s="122" t="s">
        <v>21</v>
      </c>
      <c r="C20" s="133" t="s">
        <v>34</v>
      </c>
      <c r="D20" s="123">
        <v>1</v>
      </c>
      <c r="E20" s="122" t="s">
        <v>53</v>
      </c>
      <c r="F20" s="137"/>
      <c r="G20" s="135" t="s">
        <v>560</v>
      </c>
      <c r="H20" s="124">
        <v>46058</v>
      </c>
      <c r="I20" s="124"/>
      <c r="J20" s="124">
        <f t="shared" ref="J20:J27" si="4">H20+90</f>
        <v>46148</v>
      </c>
      <c r="K20" s="125">
        <v>46113</v>
      </c>
      <c r="L20" s="125">
        <v>46142</v>
      </c>
      <c r="M20" s="123">
        <v>30</v>
      </c>
      <c r="N20" s="126">
        <f t="shared" si="2"/>
        <v>0</v>
      </c>
      <c r="O20" s="127">
        <v>0</v>
      </c>
      <c r="P20" s="136">
        <f t="shared" si="3"/>
        <v>0</v>
      </c>
      <c r="Q20" s="135"/>
      <c r="R20" s="133"/>
    </row>
    <row r="21" customHeight="1" spans="1:23">
      <c r="A21" s="122">
        <v>26</v>
      </c>
      <c r="B21" s="122" t="s">
        <v>21</v>
      </c>
      <c r="C21" s="133" t="s">
        <v>34</v>
      </c>
      <c r="D21" s="123">
        <v>1</v>
      </c>
      <c r="E21" s="122" t="s">
        <v>53</v>
      </c>
      <c r="F21" s="137"/>
      <c r="G21" s="135" t="s">
        <v>561</v>
      </c>
      <c r="H21" s="124">
        <v>46058</v>
      </c>
      <c r="I21" s="124"/>
      <c r="J21" s="124">
        <f t="shared" si="4"/>
        <v>46148</v>
      </c>
      <c r="K21" s="125">
        <v>46113</v>
      </c>
      <c r="L21" s="125">
        <v>46142</v>
      </c>
      <c r="M21" s="123">
        <v>30</v>
      </c>
      <c r="N21" s="126">
        <f t="shared" si="2"/>
        <v>0</v>
      </c>
      <c r="O21" s="127">
        <v>0</v>
      </c>
      <c r="P21" s="136">
        <f t="shared" si="3"/>
        <v>0</v>
      </c>
      <c r="Q21" s="135"/>
      <c r="R21" s="133"/>
    </row>
    <row r="22" customHeight="1" spans="1:23">
      <c r="A22" s="122">
        <v>26</v>
      </c>
      <c r="B22" s="122" t="s">
        <v>21</v>
      </c>
      <c r="C22" s="133" t="s">
        <v>34</v>
      </c>
      <c r="D22" s="123">
        <v>1</v>
      </c>
      <c r="E22" s="122" t="s">
        <v>53</v>
      </c>
      <c r="F22" s="137"/>
      <c r="G22" s="135" t="s">
        <v>562</v>
      </c>
      <c r="H22" s="124">
        <v>46058</v>
      </c>
      <c r="I22" s="124"/>
      <c r="J22" s="124">
        <f t="shared" si="4"/>
        <v>46148</v>
      </c>
      <c r="K22" s="125">
        <v>46113</v>
      </c>
      <c r="L22" s="125">
        <v>46142</v>
      </c>
      <c r="M22" s="123">
        <v>30</v>
      </c>
      <c r="N22" s="126">
        <f t="shared" si="2"/>
        <v>0</v>
      </c>
      <c r="O22" s="127">
        <v>0</v>
      </c>
      <c r="P22" s="136">
        <f t="shared" si="3"/>
        <v>0</v>
      </c>
      <c r="Q22" s="135" t="s">
        <v>571</v>
      </c>
      <c r="R22" s="133" t="s">
        <v>572</v>
      </c>
    </row>
    <row r="23" customHeight="1" spans="1:23">
      <c r="A23" s="122">
        <v>26</v>
      </c>
      <c r="B23" s="122" t="s">
        <v>21</v>
      </c>
      <c r="C23" s="133" t="s">
        <v>34</v>
      </c>
      <c r="D23" s="123">
        <v>1</v>
      </c>
      <c r="E23" s="122" t="s">
        <v>53</v>
      </c>
      <c r="F23" s="137"/>
      <c r="G23" s="135" t="s">
        <v>563</v>
      </c>
      <c r="H23" s="124">
        <v>46058</v>
      </c>
      <c r="I23" s="124"/>
      <c r="J23" s="124">
        <f t="shared" si="4"/>
        <v>46148</v>
      </c>
      <c r="K23" s="125">
        <v>46113</v>
      </c>
      <c r="L23" s="125">
        <v>46142</v>
      </c>
      <c r="M23" s="123">
        <v>30</v>
      </c>
      <c r="N23" s="126">
        <f t="shared" si="2"/>
        <v>0</v>
      </c>
      <c r="O23" s="127">
        <v>0</v>
      </c>
      <c r="P23" s="136">
        <f t="shared" si="3"/>
        <v>0</v>
      </c>
      <c r="Q23" s="135"/>
      <c r="R23" s="133"/>
    </row>
    <row r="24" customHeight="1" spans="1:23">
      <c r="A24" s="122">
        <v>26</v>
      </c>
      <c r="B24" s="122" t="s">
        <v>21</v>
      </c>
      <c r="C24" s="133" t="s">
        <v>34</v>
      </c>
      <c r="D24" s="123">
        <v>1</v>
      </c>
      <c r="E24" s="122" t="s">
        <v>53</v>
      </c>
      <c r="F24" s="137"/>
      <c r="G24" s="135" t="s">
        <v>564</v>
      </c>
      <c r="H24" s="124">
        <v>46058</v>
      </c>
      <c r="I24" s="124"/>
      <c r="J24" s="124">
        <f t="shared" si="4"/>
        <v>46148</v>
      </c>
      <c r="K24" s="125">
        <v>46113</v>
      </c>
      <c r="L24" s="125">
        <v>46142</v>
      </c>
      <c r="M24" s="123">
        <v>30</v>
      </c>
      <c r="N24" s="126">
        <f t="shared" si="2"/>
        <v>0</v>
      </c>
      <c r="O24" s="127">
        <v>0</v>
      </c>
      <c r="P24" s="136">
        <f t="shared" si="3"/>
        <v>0</v>
      </c>
      <c r="Q24" s="135"/>
      <c r="R24" s="133"/>
    </row>
    <row r="25" customHeight="1" spans="1:23">
      <c r="A25" s="122">
        <v>26</v>
      </c>
      <c r="B25" s="122" t="s">
        <v>21</v>
      </c>
      <c r="C25" s="133" t="s">
        <v>34</v>
      </c>
      <c r="D25" s="123">
        <v>1</v>
      </c>
      <c r="E25" s="122" t="s">
        <v>53</v>
      </c>
      <c r="F25" s="137"/>
      <c r="G25" s="135" t="s">
        <v>565</v>
      </c>
      <c r="H25" s="124">
        <v>46058</v>
      </c>
      <c r="I25" s="124"/>
      <c r="J25" s="124">
        <f t="shared" si="4"/>
        <v>46148</v>
      </c>
      <c r="K25" s="125">
        <v>46113</v>
      </c>
      <c r="L25" s="125">
        <v>46142</v>
      </c>
      <c r="M25" s="123">
        <v>30</v>
      </c>
      <c r="N25" s="126">
        <f t="shared" si="2"/>
        <v>0</v>
      </c>
      <c r="O25" s="127">
        <v>0</v>
      </c>
      <c r="P25" s="136">
        <f t="shared" si="3"/>
        <v>0</v>
      </c>
      <c r="Q25" s="135" t="s">
        <v>573</v>
      </c>
      <c r="R25" s="133" t="s">
        <v>574</v>
      </c>
    </row>
    <row r="26" customHeight="1" spans="1:23">
      <c r="A26" s="122">
        <v>26</v>
      </c>
      <c r="B26" s="122" t="s">
        <v>21</v>
      </c>
      <c r="C26" s="133" t="s">
        <v>34</v>
      </c>
      <c r="D26" s="123">
        <v>1</v>
      </c>
      <c r="E26" s="122" t="s">
        <v>53</v>
      </c>
      <c r="F26" s="137"/>
      <c r="G26" s="135" t="s">
        <v>566</v>
      </c>
      <c r="H26" s="124">
        <v>46058</v>
      </c>
      <c r="I26" s="124"/>
      <c r="J26" s="124">
        <f t="shared" si="4"/>
        <v>46148</v>
      </c>
      <c r="K26" s="125">
        <v>46113</v>
      </c>
      <c r="L26" s="125">
        <v>46142</v>
      </c>
      <c r="M26" s="123">
        <v>30</v>
      </c>
      <c r="N26" s="126">
        <f t="shared" si="2"/>
        <v>0</v>
      </c>
      <c r="O26" s="127">
        <v>0</v>
      </c>
      <c r="P26" s="136">
        <f t="shared" si="3"/>
        <v>0</v>
      </c>
      <c r="Q26" s="135"/>
      <c r="R26" s="133"/>
    </row>
    <row r="27" customHeight="1" spans="1:23">
      <c r="A27" s="122">
        <v>26</v>
      </c>
      <c r="B27" s="122" t="s">
        <v>21</v>
      </c>
      <c r="C27" s="133" t="s">
        <v>34</v>
      </c>
      <c r="D27" s="123">
        <v>1</v>
      </c>
      <c r="E27" s="122" t="s">
        <v>53</v>
      </c>
      <c r="F27" s="137"/>
      <c r="G27" s="135" t="s">
        <v>567</v>
      </c>
      <c r="H27" s="124">
        <v>46058</v>
      </c>
      <c r="I27" s="124"/>
      <c r="J27" s="124">
        <f t="shared" si="4"/>
        <v>46148</v>
      </c>
      <c r="K27" s="125">
        <v>46113</v>
      </c>
      <c r="L27" s="125">
        <v>46142</v>
      </c>
      <c r="M27" s="123">
        <v>30</v>
      </c>
      <c r="N27" s="126">
        <f t="shared" si="2"/>
        <v>0</v>
      </c>
      <c r="O27" s="127">
        <v>0</v>
      </c>
      <c r="P27" s="136">
        <f t="shared" si="3"/>
        <v>0</v>
      </c>
      <c r="Q27" s="135"/>
      <c r="R27" s="133"/>
    </row>
    <row r="28" s="114" customFormat="1" customHeight="1" spans="1:23">
      <c r="A28" s="126" t="s">
        <v>126</v>
      </c>
      <c r="B28" s="126"/>
      <c r="C28" s="126"/>
      <c r="D28" s="126">
        <f>SUM(D19:D27)</f>
        <v>9</v>
      </c>
      <c r="E28" s="126" t="s">
        <v>127</v>
      </c>
      <c r="F28" s="126"/>
      <c r="G28" s="126"/>
      <c r="H28" s="126"/>
      <c r="I28" s="126"/>
      <c r="J28" s="126"/>
      <c r="K28" s="126"/>
      <c r="L28" s="126"/>
      <c r="M28" s="126"/>
      <c r="N28" s="128">
        <f>SUM(N19:N27)</f>
        <v>0</v>
      </c>
      <c r="O28" s="129"/>
      <c r="P28" s="128">
        <f>SUM(P19:P27)</f>
        <v>0</v>
      </c>
    </row>
    <row r="30" customHeight="1" spans="1:23">
      <c r="A30" s="138" t="s">
        <v>16</v>
      </c>
      <c r="B30" s="138" t="s">
        <v>17</v>
      </c>
      <c r="C30" s="138" t="s">
        <v>18</v>
      </c>
      <c r="D30" s="138" t="s">
        <v>65</v>
      </c>
      <c r="E30" s="138" t="s">
        <v>46</v>
      </c>
      <c r="F30" s="138" t="s">
        <v>75</v>
      </c>
      <c r="G30" s="138"/>
      <c r="H30" s="138"/>
      <c r="I30" s="138"/>
      <c r="J30" s="138"/>
      <c r="K30" s="138"/>
      <c r="L30" s="138"/>
      <c r="M30" s="138"/>
      <c r="N30" s="138"/>
      <c r="O30" s="138"/>
      <c r="P30" s="138"/>
    </row>
    <row r="31" customHeight="1" spans="1:23">
      <c r="A31" s="139">
        <v>26</v>
      </c>
      <c r="B31" s="139" t="s">
        <v>21</v>
      </c>
      <c r="C31" s="133" t="s">
        <v>34</v>
      </c>
      <c r="D31" s="140">
        <v>9</v>
      </c>
      <c r="E31" s="139" t="s">
        <v>53</v>
      </c>
      <c r="F31" s="140">
        <f>SUM(P19:P27)</f>
        <v>0</v>
      </c>
      <c r="G31" s="140"/>
      <c r="H31" s="140"/>
      <c r="I31" s="140"/>
      <c r="J31" s="140"/>
      <c r="K31" s="140"/>
      <c r="L31" s="140"/>
      <c r="M31" s="140"/>
      <c r="N31" s="140"/>
      <c r="O31" s="140"/>
      <c r="P31" s="140"/>
    </row>
    <row r="32" customHeight="1" spans="1:23">
      <c r="A32" s="123">
        <v>35</v>
      </c>
      <c r="B32" s="123" t="s">
        <v>51</v>
      </c>
      <c r="C32" s="123" t="s">
        <v>54</v>
      </c>
      <c r="D32" s="123">
        <v>9</v>
      </c>
      <c r="E32" s="123" t="s">
        <v>53</v>
      </c>
      <c r="F32" s="141">
        <f>SUM(P3:P11)</f>
        <v>0</v>
      </c>
      <c r="G32" s="142"/>
      <c r="H32" s="142"/>
      <c r="I32" s="142"/>
      <c r="J32" s="142"/>
      <c r="K32" s="142"/>
      <c r="L32" s="142"/>
      <c r="M32" s="142"/>
      <c r="N32" s="142"/>
      <c r="O32" s="142"/>
      <c r="P32" s="143"/>
    </row>
    <row r="33" customHeight="1" spans="1:16">
      <c r="A33" s="140" t="s">
        <v>146</v>
      </c>
      <c r="B33" s="140"/>
      <c r="C33" s="140"/>
      <c r="D33" s="140"/>
      <c r="E33" s="140"/>
      <c r="F33" s="144">
        <f>SUM(F31:P32)</f>
        <v>0</v>
      </c>
      <c r="G33" s="144"/>
      <c r="H33" s="144"/>
      <c r="I33" s="144"/>
      <c r="J33" s="144"/>
      <c r="K33" s="144"/>
      <c r="L33" s="144"/>
      <c r="M33" s="144"/>
      <c r="N33" s="144"/>
      <c r="O33" s="144"/>
      <c r="P33" s="144"/>
    </row>
  </sheetData>
  <mergeCells count="15">
    <mergeCell ref="A1:N1"/>
    <mergeCell ref="A12:C12"/>
    <mergeCell ref="E12:M12"/>
    <mergeCell ref="A17:P17"/>
    <mergeCell ref="Q18:R18"/>
    <mergeCell ref="A28:C28"/>
    <mergeCell ref="E28:M28"/>
    <mergeCell ref="F30:P30"/>
    <mergeCell ref="F31:P31"/>
    <mergeCell ref="F32:P32"/>
    <mergeCell ref="A33:E33"/>
    <mergeCell ref="F33:P33"/>
    <mergeCell ref="R19:R21"/>
    <mergeCell ref="R22:R24"/>
    <mergeCell ref="R25:R27"/>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32"/>
  <sheetViews>
    <sheetView zoomScale="55" zoomScaleNormal="55" topLeftCell="A11" workbookViewId="0">
      <selection activeCell="F32" sqref="F32:P32"/>
    </sheetView>
  </sheetViews>
  <sheetFormatPr defaultColWidth="14.6640625" defaultRowHeight="37" customHeight="1"/>
  <cols>
    <col min="1" max="8" width="14.6640625" style="44" customWidth="1"/>
    <col min="9" max="13" width="14.6640625" style="109" customWidth="1"/>
    <col min="14" max="14" width="14.6640625" style="44" customWidth="1"/>
    <col min="15" max="15" width="16.8359375" style="44" customWidth="1"/>
    <col min="16" max="16" width="14.6640625" style="44" customWidth="1"/>
    <col min="17" max="25" width="14.6640625" style="101" customWidth="1"/>
    <col min="26" max="42" width="14.6640625" style="44" customWidth="1"/>
  </cols>
  <sheetData>
    <row r="1" s="97" customFormat="1" customHeight="1" spans="1:25">
      <c r="A1" s="110" t="s">
        <v>575</v>
      </c>
      <c r="B1" s="110"/>
      <c r="C1" s="110"/>
      <c r="D1" s="110"/>
      <c r="E1" s="110"/>
      <c r="F1" s="110"/>
      <c r="G1" s="110"/>
      <c r="H1" s="110"/>
      <c r="I1" s="110"/>
      <c r="J1" s="110"/>
      <c r="K1" s="110"/>
      <c r="L1" s="110"/>
      <c r="M1" s="110"/>
      <c r="N1" s="110"/>
      <c r="O1" s="110"/>
      <c r="P1" s="110"/>
      <c r="Q1" s="101"/>
      <c r="R1" s="101"/>
      <c r="S1" s="101"/>
      <c r="T1" s="101"/>
      <c r="U1" s="101"/>
      <c r="V1" s="101"/>
      <c r="W1" s="101"/>
      <c r="X1" s="101"/>
      <c r="Y1" s="101"/>
    </row>
    <row r="2" s="97" customFormat="1" ht="39" customHeight="1" spans="1:25">
      <c r="A2" s="48" t="s">
        <v>16</v>
      </c>
      <c r="B2" s="48" t="s">
        <v>17</v>
      </c>
      <c r="C2" s="48" t="s">
        <v>18</v>
      </c>
      <c r="D2" s="48" t="s">
        <v>65</v>
      </c>
      <c r="E2" s="48" t="s">
        <v>46</v>
      </c>
      <c r="F2" s="48" t="s">
        <v>66</v>
      </c>
      <c r="G2" s="48" t="s">
        <v>67</v>
      </c>
      <c r="H2" s="48" t="s">
        <v>43</v>
      </c>
      <c r="I2" s="48" t="s">
        <v>68</v>
      </c>
      <c r="J2" s="48" t="s">
        <v>69</v>
      </c>
      <c r="K2" s="48" t="s">
        <v>328</v>
      </c>
      <c r="L2" s="48" t="s">
        <v>71</v>
      </c>
      <c r="M2" s="111" t="s">
        <v>72</v>
      </c>
      <c r="N2" s="111" t="s">
        <v>73</v>
      </c>
      <c r="O2" s="48" t="s">
        <v>329</v>
      </c>
      <c r="P2" s="48" t="s">
        <v>75</v>
      </c>
      <c r="Q2" s="101"/>
      <c r="R2" s="101"/>
      <c r="S2" s="101"/>
    </row>
    <row r="3" customHeight="1" spans="1:25">
      <c r="A3" s="27">
        <v>35</v>
      </c>
      <c r="B3" s="27" t="s">
        <v>51</v>
      </c>
      <c r="C3" s="27" t="s">
        <v>54</v>
      </c>
      <c r="D3" s="29">
        <v>1</v>
      </c>
      <c r="E3" s="29" t="s">
        <v>53</v>
      </c>
      <c r="F3" s="29">
        <v>1.95</v>
      </c>
      <c r="G3" s="29" t="s">
        <v>576</v>
      </c>
      <c r="H3" s="42">
        <v>46052</v>
      </c>
      <c r="I3" s="42"/>
      <c r="J3" s="42">
        <f>H3+90</f>
        <v>46142</v>
      </c>
      <c r="K3" s="42">
        <f>H3+90</f>
        <v>46142</v>
      </c>
      <c r="L3" s="42">
        <v>46142</v>
      </c>
      <c r="M3" s="32">
        <v>30</v>
      </c>
      <c r="N3" s="29">
        <f>M3*D3*F3</f>
        <v>58.5</v>
      </c>
      <c r="O3" s="29">
        <v>1</v>
      </c>
      <c r="P3" s="29">
        <f>O3*F3*D3</f>
        <v>1.95</v>
      </c>
    </row>
    <row r="4" customHeight="1" spans="1:25">
      <c r="A4" s="27">
        <v>35</v>
      </c>
      <c r="B4" s="27" t="s">
        <v>51</v>
      </c>
      <c r="C4" s="27" t="s">
        <v>54</v>
      </c>
      <c r="D4" s="29">
        <v>1</v>
      </c>
      <c r="E4" s="29" t="s">
        <v>53</v>
      </c>
      <c r="F4" s="29">
        <v>1.95</v>
      </c>
      <c r="G4" s="29" t="s">
        <v>577</v>
      </c>
      <c r="H4" s="42">
        <v>46052</v>
      </c>
      <c r="I4" s="42"/>
      <c r="J4" s="42">
        <f>H4+90</f>
        <v>46142</v>
      </c>
      <c r="K4" s="42">
        <f>H4+90</f>
        <v>46142</v>
      </c>
      <c r="L4" s="42">
        <v>46142</v>
      </c>
      <c r="M4" s="32">
        <v>30</v>
      </c>
      <c r="N4" s="29">
        <f>M4*D4*F4</f>
        <v>58.5</v>
      </c>
      <c r="O4" s="29">
        <v>1</v>
      </c>
      <c r="P4" s="29">
        <f>O4*F4*D4</f>
        <v>1.95</v>
      </c>
    </row>
    <row r="5" s="44" customFormat="1" customHeight="1" spans="1:25">
      <c r="A5" s="27">
        <v>35</v>
      </c>
      <c r="B5" s="27" t="s">
        <v>51</v>
      </c>
      <c r="C5" s="27" t="s">
        <v>54</v>
      </c>
      <c r="D5" s="29">
        <v>1</v>
      </c>
      <c r="E5" s="29" t="s">
        <v>53</v>
      </c>
      <c r="F5" s="29">
        <v>1.95</v>
      </c>
      <c r="G5" s="29" t="s">
        <v>578</v>
      </c>
      <c r="H5" s="42">
        <v>46052</v>
      </c>
      <c r="I5" s="42"/>
      <c r="J5" s="42">
        <f>H5+90</f>
        <v>46142</v>
      </c>
      <c r="K5" s="42">
        <f>H5+90</f>
        <v>46142</v>
      </c>
      <c r="L5" s="42">
        <v>46142</v>
      </c>
      <c r="M5" s="32">
        <v>30</v>
      </c>
      <c r="N5" s="29">
        <f>M5*D5*F5</f>
        <v>58.5</v>
      </c>
      <c r="O5" s="29">
        <v>1</v>
      </c>
      <c r="P5" s="29">
        <f>O5*F5*D5</f>
        <v>1.95</v>
      </c>
      <c r="Q5" s="101"/>
      <c r="R5" s="101"/>
      <c r="S5" s="101"/>
      <c r="T5" s="101"/>
      <c r="U5" s="101"/>
      <c r="V5" s="101"/>
      <c r="W5" s="101"/>
      <c r="X5" s="101"/>
      <c r="Y5" s="101"/>
    </row>
    <row r="6" s="58" customFormat="1" ht="39" customHeight="1" spans="1:25">
      <c r="A6" s="29" t="s">
        <v>126</v>
      </c>
      <c r="B6" s="29"/>
      <c r="C6" s="29"/>
      <c r="D6" s="29">
        <f>SUM(D5)</f>
        <v>1</v>
      </c>
      <c r="E6" s="29" t="s">
        <v>127</v>
      </c>
      <c r="F6" s="29"/>
      <c r="G6" s="29"/>
      <c r="H6" s="29"/>
      <c r="I6" s="29"/>
      <c r="J6" s="29"/>
      <c r="K6" s="29"/>
      <c r="L6" s="29"/>
      <c r="M6" s="29"/>
      <c r="N6" s="33">
        <f>SUM(N3:N5)</f>
        <v>175.5</v>
      </c>
      <c r="O6" s="34"/>
      <c r="P6" s="33">
        <f>SUM(P3:P5)</f>
        <v>5.85</v>
      </c>
    </row>
    <row r="7" s="101" customFormat="1" customHeight="1"/>
    <row r="8" customHeight="1" spans="1:25">
      <c r="A8" s="15">
        <v>46113</v>
      </c>
      <c r="B8" s="112" t="s">
        <v>128</v>
      </c>
      <c r="C8" s="112">
        <v>4</v>
      </c>
      <c r="D8" s="101"/>
      <c r="E8" s="101"/>
      <c r="F8" s="101"/>
      <c r="G8" s="101"/>
      <c r="H8" s="101"/>
      <c r="I8" s="101"/>
      <c r="J8" s="101"/>
      <c r="K8" s="101"/>
      <c r="L8" s="101"/>
      <c r="M8" s="101"/>
      <c r="N8" s="101"/>
      <c r="O8" s="101"/>
      <c r="P8" s="101"/>
    </row>
    <row r="9" customHeight="1" spans="1:25">
      <c r="A9" s="112"/>
      <c r="B9" s="112" t="s">
        <v>129</v>
      </c>
      <c r="C9" s="112">
        <v>0</v>
      </c>
      <c r="D9" s="101"/>
      <c r="E9" s="101"/>
      <c r="F9" s="101"/>
      <c r="G9" s="101"/>
      <c r="H9" s="101"/>
      <c r="I9" s="101"/>
      <c r="J9" s="101"/>
      <c r="K9" s="101"/>
      <c r="L9" s="101"/>
      <c r="M9" s="101"/>
      <c r="N9" s="101"/>
      <c r="O9" s="101"/>
      <c r="P9" s="101"/>
    </row>
    <row r="10" customHeight="1" spans="1:25">
      <c r="A10" s="101"/>
      <c r="B10" s="101"/>
      <c r="C10" s="101"/>
      <c r="D10" s="101"/>
      <c r="E10" s="101"/>
      <c r="F10" s="101"/>
      <c r="G10" s="101"/>
      <c r="H10" s="101"/>
      <c r="I10" s="101"/>
      <c r="J10" s="101"/>
      <c r="K10" s="101"/>
      <c r="L10" s="101"/>
      <c r="M10" s="101"/>
      <c r="N10" s="101"/>
      <c r="O10" s="101"/>
      <c r="P10" s="101"/>
    </row>
    <row r="11" customHeight="1" spans="1:25">
      <c r="A11" s="99" t="s">
        <v>579</v>
      </c>
      <c r="B11" s="100"/>
      <c r="C11" s="100"/>
      <c r="D11" s="100"/>
      <c r="E11" s="100"/>
      <c r="F11" s="100"/>
      <c r="G11" s="100"/>
      <c r="H11" s="100"/>
      <c r="I11" s="100"/>
      <c r="J11" s="100"/>
      <c r="K11" s="100"/>
      <c r="L11" s="100"/>
      <c r="M11" s="100"/>
      <c r="N11" s="100"/>
      <c r="O11" s="100"/>
      <c r="P11" s="100"/>
    </row>
    <row r="12" customHeight="1" spans="1:25">
      <c r="A12" s="62" t="s">
        <v>16</v>
      </c>
      <c r="B12" s="62" t="s">
        <v>17</v>
      </c>
      <c r="C12" s="62" t="s">
        <v>18</v>
      </c>
      <c r="D12" s="62" t="s">
        <v>65</v>
      </c>
      <c r="E12" s="62" t="s">
        <v>46</v>
      </c>
      <c r="F12" s="62" t="s">
        <v>66</v>
      </c>
      <c r="G12" s="62" t="s">
        <v>67</v>
      </c>
      <c r="H12" s="62" t="s">
        <v>43</v>
      </c>
      <c r="I12" s="62" t="s">
        <v>68</v>
      </c>
      <c r="J12" s="35" t="s">
        <v>69</v>
      </c>
      <c r="K12" s="62" t="s">
        <v>328</v>
      </c>
      <c r="L12" s="62" t="s">
        <v>71</v>
      </c>
      <c r="M12" s="36" t="s">
        <v>72</v>
      </c>
      <c r="N12" s="36" t="s">
        <v>73</v>
      </c>
      <c r="O12" s="35" t="s">
        <v>329</v>
      </c>
      <c r="P12" s="62" t="s">
        <v>75</v>
      </c>
    </row>
    <row r="13" customHeight="1" spans="1:25">
      <c r="A13" s="14">
        <v>50</v>
      </c>
      <c r="B13" s="14" t="s">
        <v>30</v>
      </c>
      <c r="C13" s="14" t="s">
        <v>31</v>
      </c>
      <c r="D13" s="14">
        <v>1</v>
      </c>
      <c r="E13" s="14" t="s">
        <v>53</v>
      </c>
      <c r="F13" s="63">
        <v>22.77</v>
      </c>
      <c r="G13" s="19"/>
      <c r="H13" s="113">
        <v>45961</v>
      </c>
      <c r="I13" s="65">
        <v>46126</v>
      </c>
      <c r="J13" s="15">
        <f>H13+90</f>
        <v>46051</v>
      </c>
      <c r="K13" s="15">
        <v>46113</v>
      </c>
      <c r="L13" s="15">
        <v>46125</v>
      </c>
      <c r="M13" s="19">
        <v>13</v>
      </c>
      <c r="N13" s="29">
        <f>M13*D13*F13</f>
        <v>296.01</v>
      </c>
      <c r="O13" s="19">
        <f>L13-K13+1</f>
        <v>13</v>
      </c>
      <c r="P13" s="67">
        <f>O13*F13*D13</f>
        <v>296.01</v>
      </c>
      <c r="Q13" s="105" t="s">
        <v>133</v>
      </c>
    </row>
    <row r="14" s="58" customFormat="1" ht="39" customHeight="1" spans="1:25">
      <c r="A14" s="29" t="s">
        <v>126</v>
      </c>
      <c r="B14" s="29"/>
      <c r="C14" s="29"/>
      <c r="D14" s="29">
        <f>SUM(D13)</f>
        <v>1</v>
      </c>
      <c r="E14" s="29" t="s">
        <v>127</v>
      </c>
      <c r="F14" s="29"/>
      <c r="G14" s="29"/>
      <c r="H14" s="29"/>
      <c r="I14" s="29"/>
      <c r="J14" s="29"/>
      <c r="K14" s="29"/>
      <c r="L14" s="29"/>
      <c r="M14" s="29"/>
      <c r="N14" s="33">
        <f>SUM(N11:N13)</f>
        <v>296.01</v>
      </c>
      <c r="O14" s="34"/>
      <c r="P14" s="33">
        <f>SUM(P11:P13)</f>
        <v>296.01</v>
      </c>
    </row>
    <row r="15" customHeight="1" spans="1:25">
      <c r="A15" s="97"/>
      <c r="B15" s="97"/>
      <c r="C15" s="97"/>
      <c r="D15" s="97"/>
      <c r="E15" s="97"/>
      <c r="F15" s="97"/>
      <c r="G15" s="97"/>
      <c r="H15" s="97"/>
      <c r="I15" s="97"/>
      <c r="J15" s="97"/>
      <c r="K15" s="97"/>
      <c r="L15" s="97"/>
      <c r="M15" s="97"/>
      <c r="N15" s="97"/>
      <c r="O15" s="101"/>
      <c r="P15" s="101"/>
    </row>
    <row r="16" customHeight="1" spans="1:25">
      <c r="A16" s="99" t="s">
        <v>580</v>
      </c>
      <c r="B16" s="100"/>
      <c r="C16" s="100"/>
      <c r="D16" s="100"/>
      <c r="E16" s="100"/>
      <c r="F16" s="100"/>
      <c r="G16" s="100"/>
      <c r="H16" s="100"/>
      <c r="I16" s="100"/>
      <c r="J16" s="100"/>
      <c r="K16" s="100"/>
      <c r="L16" s="100"/>
      <c r="M16" s="100"/>
      <c r="N16" s="100"/>
      <c r="O16" s="100"/>
      <c r="P16" s="100"/>
    </row>
    <row r="17" customHeight="1" spans="1:18">
      <c r="A17" s="62" t="s">
        <v>16</v>
      </c>
      <c r="B17" s="62" t="s">
        <v>17</v>
      </c>
      <c r="C17" s="62" t="s">
        <v>18</v>
      </c>
      <c r="D17" s="62" t="s">
        <v>65</v>
      </c>
      <c r="E17" s="62" t="s">
        <v>46</v>
      </c>
      <c r="F17" s="62" t="s">
        <v>66</v>
      </c>
      <c r="G17" s="62" t="s">
        <v>322</v>
      </c>
      <c r="H17" s="62" t="s">
        <v>43</v>
      </c>
      <c r="I17" s="62" t="s">
        <v>68</v>
      </c>
      <c r="J17" s="35" t="s">
        <v>69</v>
      </c>
      <c r="K17" s="62" t="s">
        <v>328</v>
      </c>
      <c r="L17" s="62" t="s">
        <v>71</v>
      </c>
      <c r="M17" s="36" t="s">
        <v>72</v>
      </c>
      <c r="N17" s="36" t="s">
        <v>73</v>
      </c>
      <c r="O17" s="35" t="s">
        <v>74</v>
      </c>
      <c r="P17" s="62" t="s">
        <v>75</v>
      </c>
    </row>
    <row r="18" customHeight="1" spans="1:18">
      <c r="A18" s="14">
        <v>26</v>
      </c>
      <c r="B18" s="14" t="s">
        <v>21</v>
      </c>
      <c r="C18" s="14" t="s">
        <v>22</v>
      </c>
      <c r="D18" s="19">
        <v>1</v>
      </c>
      <c r="E18" s="14" t="s">
        <v>53</v>
      </c>
      <c r="F18" s="63">
        <v>5.53</v>
      </c>
      <c r="G18" s="14" t="s">
        <v>578</v>
      </c>
      <c r="H18" s="113">
        <v>45961</v>
      </c>
      <c r="I18" s="15"/>
      <c r="J18" s="15">
        <f>H18+90</f>
        <v>46051</v>
      </c>
      <c r="K18" s="15">
        <v>46113</v>
      </c>
      <c r="L18" s="15">
        <v>46142</v>
      </c>
      <c r="M18" s="107">
        <v>30</v>
      </c>
      <c r="N18" s="29">
        <f t="shared" ref="N18:N20" si="0">M18*D18*F18</f>
        <v>165.9</v>
      </c>
      <c r="O18" s="107">
        <f>L18-K18+1</f>
        <v>30</v>
      </c>
      <c r="P18" s="67">
        <f>D18*F18*O18</f>
        <v>165.9</v>
      </c>
    </row>
    <row r="19" customHeight="1" spans="1:18">
      <c r="A19" s="14">
        <v>26</v>
      </c>
      <c r="B19" s="14" t="s">
        <v>21</v>
      </c>
      <c r="C19" s="14" t="s">
        <v>22</v>
      </c>
      <c r="D19" s="19">
        <v>1</v>
      </c>
      <c r="E19" s="14" t="s">
        <v>53</v>
      </c>
      <c r="F19" s="63">
        <v>5.53</v>
      </c>
      <c r="G19" s="19" t="s">
        <v>576</v>
      </c>
      <c r="H19" s="113">
        <v>45961</v>
      </c>
      <c r="I19" s="15"/>
      <c r="J19" s="15">
        <f>H19+90</f>
        <v>46051</v>
      </c>
      <c r="K19" s="15">
        <v>46113</v>
      </c>
      <c r="L19" s="15">
        <v>46142</v>
      </c>
      <c r="M19" s="107">
        <v>30</v>
      </c>
      <c r="N19" s="29">
        <f t="shared" si="0"/>
        <v>165.9</v>
      </c>
      <c r="O19" s="107">
        <f>L19-K19+1</f>
        <v>30</v>
      </c>
      <c r="P19" s="67">
        <f>D19*F19*O19</f>
        <v>165.9</v>
      </c>
    </row>
    <row r="20" customHeight="1" spans="1:18">
      <c r="A20" s="14">
        <v>26</v>
      </c>
      <c r="B20" s="14" t="s">
        <v>21</v>
      </c>
      <c r="C20" s="14" t="s">
        <v>22</v>
      </c>
      <c r="D20" s="19">
        <v>1</v>
      </c>
      <c r="E20" s="14" t="s">
        <v>53</v>
      </c>
      <c r="F20" s="63">
        <v>5.53</v>
      </c>
      <c r="G20" s="19" t="s">
        <v>577</v>
      </c>
      <c r="H20" s="113">
        <v>45961</v>
      </c>
      <c r="I20" s="15"/>
      <c r="J20" s="15">
        <f>H20+90</f>
        <v>46051</v>
      </c>
      <c r="K20" s="15">
        <v>46113</v>
      </c>
      <c r="L20" s="15">
        <v>46142</v>
      </c>
      <c r="M20" s="107">
        <v>30</v>
      </c>
      <c r="N20" s="29">
        <f t="shared" si="0"/>
        <v>165.9</v>
      </c>
      <c r="O20" s="107">
        <f>L20-K20+1</f>
        <v>30</v>
      </c>
      <c r="P20" s="67">
        <f>D20*F20*O20</f>
        <v>165.9</v>
      </c>
    </row>
    <row r="21" s="58" customFormat="1" ht="39" customHeight="1" spans="1:18">
      <c r="A21" s="29" t="s">
        <v>126</v>
      </c>
      <c r="B21" s="29"/>
      <c r="C21" s="29"/>
      <c r="D21" s="29">
        <f>SUM(D20)</f>
        <v>1</v>
      </c>
      <c r="E21" s="29" t="s">
        <v>127</v>
      </c>
      <c r="F21" s="29"/>
      <c r="G21" s="29"/>
      <c r="H21" s="29"/>
      <c r="I21" s="29"/>
      <c r="J21" s="29"/>
      <c r="K21" s="29"/>
      <c r="L21" s="29"/>
      <c r="M21" s="29"/>
      <c r="N21" s="33">
        <f>SUM(N18:N20)</f>
        <v>497.7</v>
      </c>
      <c r="O21" s="34"/>
      <c r="P21" s="33">
        <f>SUM(P18:P20)</f>
        <v>497.7</v>
      </c>
    </row>
    <row r="23" s="97" customFormat="1" ht="34" customHeight="1" spans="1:18">
      <c r="A23" s="13" t="s">
        <v>16</v>
      </c>
      <c r="B23" s="13" t="s">
        <v>17</v>
      </c>
      <c r="C23" s="13" t="s">
        <v>18</v>
      </c>
      <c r="D23" s="13" t="s">
        <v>65</v>
      </c>
      <c r="E23" s="13" t="s">
        <v>46</v>
      </c>
      <c r="F23" s="13" t="s">
        <v>66</v>
      </c>
      <c r="G23" s="13" t="s">
        <v>67</v>
      </c>
      <c r="H23" s="13" t="s">
        <v>43</v>
      </c>
      <c r="I23" s="13" t="s">
        <v>68</v>
      </c>
      <c r="J23" s="25" t="s">
        <v>69</v>
      </c>
      <c r="K23" s="13" t="s">
        <v>328</v>
      </c>
      <c r="L23" s="62" t="s">
        <v>71</v>
      </c>
      <c r="M23" s="36" t="s">
        <v>72</v>
      </c>
      <c r="N23" s="36" t="s">
        <v>73</v>
      </c>
      <c r="O23" s="25" t="s">
        <v>74</v>
      </c>
      <c r="P23" s="13" t="s">
        <v>75</v>
      </c>
    </row>
    <row r="24" s="97" customFormat="1" ht="34" customHeight="1" spans="1:18">
      <c r="A24" s="14">
        <v>5</v>
      </c>
      <c r="B24" s="14" t="s">
        <v>25</v>
      </c>
      <c r="C24" s="14" t="s">
        <v>36</v>
      </c>
      <c r="D24" s="14">
        <v>1</v>
      </c>
      <c r="E24" s="14" t="s">
        <v>53</v>
      </c>
      <c r="F24" s="10">
        <v>284.17</v>
      </c>
      <c r="G24" s="19" t="s">
        <v>577</v>
      </c>
      <c r="H24" s="15">
        <v>46126</v>
      </c>
      <c r="I24" s="15"/>
      <c r="J24" s="64">
        <f>H24+90</f>
        <v>46216</v>
      </c>
      <c r="K24" s="15">
        <v>46113</v>
      </c>
      <c r="L24" s="15">
        <v>46142</v>
      </c>
      <c r="M24" s="107">
        <v>30</v>
      </c>
      <c r="N24" s="29">
        <f>M24*D24*F24</f>
        <v>8525.1</v>
      </c>
      <c r="O24" s="107">
        <v>0</v>
      </c>
      <c r="P24" s="67">
        <f>D24*F24*O24</f>
        <v>0</v>
      </c>
    </row>
    <row r="25" s="58" customFormat="1" ht="39" customHeight="1" spans="1:18">
      <c r="A25" s="29" t="s">
        <v>126</v>
      </c>
      <c r="B25" s="29"/>
      <c r="C25" s="29"/>
      <c r="D25" s="29">
        <f>SUM(D24)</f>
        <v>1</v>
      </c>
      <c r="E25" s="29" t="s">
        <v>127</v>
      </c>
      <c r="F25" s="29"/>
      <c r="G25" s="29"/>
      <c r="H25" s="29"/>
      <c r="I25" s="29"/>
      <c r="J25" s="29"/>
      <c r="K25" s="29"/>
      <c r="L25" s="29"/>
      <c r="M25" s="29"/>
      <c r="N25" s="33">
        <f>SUM(N22:N24)</f>
        <v>8525.1</v>
      </c>
      <c r="O25" s="34"/>
      <c r="P25" s="33">
        <f>SUM(P22:P24)</f>
        <v>0</v>
      </c>
    </row>
    <row r="27" customHeight="1" spans="1:18">
      <c r="A27" s="25" t="s">
        <v>16</v>
      </c>
      <c r="B27" s="25" t="s">
        <v>17</v>
      </c>
      <c r="C27" s="25" t="s">
        <v>18</v>
      </c>
      <c r="D27" s="25" t="s">
        <v>65</v>
      </c>
      <c r="E27" s="25" t="s">
        <v>46</v>
      </c>
      <c r="F27" s="25" t="s">
        <v>75</v>
      </c>
      <c r="G27" s="25"/>
      <c r="H27" s="25"/>
      <c r="I27" s="25"/>
      <c r="J27" s="25"/>
      <c r="K27" s="25"/>
      <c r="L27" s="25"/>
      <c r="M27" s="25"/>
      <c r="N27" s="25"/>
      <c r="O27" s="25"/>
      <c r="P27" s="25"/>
      <c r="Q27"/>
      <c r="R27"/>
    </row>
    <row r="28" customHeight="1" spans="1:18">
      <c r="A28" s="27">
        <v>50</v>
      </c>
      <c r="B28" s="27" t="s">
        <v>30</v>
      </c>
      <c r="C28" s="27" t="s">
        <v>31</v>
      </c>
      <c r="D28" s="27">
        <v>1</v>
      </c>
      <c r="E28" s="27" t="s">
        <v>53</v>
      </c>
      <c r="F28" s="108">
        <f>P14</f>
        <v>296.01</v>
      </c>
      <c r="G28" s="108"/>
      <c r="H28" s="108"/>
      <c r="I28" s="108"/>
      <c r="J28" s="108"/>
      <c r="K28" s="108"/>
      <c r="L28" s="108"/>
      <c r="M28" s="108"/>
      <c r="N28" s="108"/>
      <c r="O28" s="108"/>
      <c r="P28" s="108"/>
      <c r="Q28"/>
      <c r="R28"/>
    </row>
    <row r="29" customHeight="1" spans="1:18">
      <c r="A29" s="27">
        <v>26</v>
      </c>
      <c r="B29" s="27" t="s">
        <v>21</v>
      </c>
      <c r="C29" s="27" t="s">
        <v>22</v>
      </c>
      <c r="D29" s="32">
        <v>3</v>
      </c>
      <c r="E29" s="27" t="s">
        <v>53</v>
      </c>
      <c r="F29" s="32">
        <f>SUM(P18:P20)</f>
        <v>497.7</v>
      </c>
      <c r="G29" s="32"/>
      <c r="H29" s="32"/>
      <c r="I29" s="32"/>
      <c r="J29" s="32"/>
      <c r="K29" s="32"/>
      <c r="L29" s="32"/>
      <c r="M29" s="32"/>
      <c r="N29" s="32"/>
      <c r="O29" s="32"/>
      <c r="P29" s="32"/>
      <c r="Q29"/>
      <c r="R29"/>
    </row>
    <row r="30" customHeight="1" spans="1:18">
      <c r="A30" s="27">
        <v>5</v>
      </c>
      <c r="B30" s="27" t="s">
        <v>25</v>
      </c>
      <c r="C30" s="27" t="s">
        <v>36</v>
      </c>
      <c r="D30" s="27">
        <v>1</v>
      </c>
      <c r="E30" s="27" t="s">
        <v>53</v>
      </c>
      <c r="F30" s="32">
        <f>P25</f>
        <v>0</v>
      </c>
      <c r="G30" s="32"/>
      <c r="H30" s="32"/>
      <c r="I30" s="32"/>
      <c r="J30" s="32"/>
      <c r="K30" s="32"/>
      <c r="L30" s="32"/>
      <c r="M30" s="32"/>
      <c r="N30" s="32"/>
      <c r="O30" s="32"/>
      <c r="P30" s="32"/>
      <c r="Q30"/>
      <c r="R30"/>
    </row>
    <row r="31" customHeight="1" spans="1:18">
      <c r="A31" s="29">
        <v>35</v>
      </c>
      <c r="B31" s="29" t="s">
        <v>51</v>
      </c>
      <c r="C31" s="29" t="s">
        <v>54</v>
      </c>
      <c r="D31" s="29">
        <v>3</v>
      </c>
      <c r="E31" s="29" t="s">
        <v>53</v>
      </c>
      <c r="F31" s="32">
        <f>SUM(P3:P5)</f>
        <v>5.85</v>
      </c>
      <c r="G31" s="32"/>
      <c r="H31" s="32"/>
      <c r="I31" s="32"/>
      <c r="J31" s="32"/>
      <c r="K31" s="32"/>
      <c r="L31" s="32"/>
      <c r="M31" s="32"/>
      <c r="N31" s="32"/>
      <c r="O31" s="32"/>
      <c r="P31" s="32"/>
      <c r="Q31"/>
      <c r="R31"/>
    </row>
    <row r="32" customHeight="1" spans="1:18">
      <c r="A32" s="32" t="s">
        <v>146</v>
      </c>
      <c r="B32" s="32"/>
      <c r="C32" s="32"/>
      <c r="D32" s="32"/>
      <c r="E32" s="32"/>
      <c r="F32" s="56">
        <f>SUM(F28:F31)</f>
        <v>799.56</v>
      </c>
      <c r="G32" s="56"/>
      <c r="H32" s="56"/>
      <c r="I32" s="56"/>
      <c r="J32" s="56"/>
      <c r="K32" s="56"/>
      <c r="L32" s="56"/>
      <c r="M32" s="56"/>
      <c r="N32" s="56"/>
      <c r="O32" s="56"/>
      <c r="P32" s="56"/>
      <c r="Q32"/>
      <c r="R32"/>
    </row>
  </sheetData>
  <mergeCells count="18">
    <mergeCell ref="A1:P1"/>
    <mergeCell ref="A6:C6"/>
    <mergeCell ref="E6:M6"/>
    <mergeCell ref="A11:P11"/>
    <mergeCell ref="A14:C14"/>
    <mergeCell ref="E14:M14"/>
    <mergeCell ref="A16:P16"/>
    <mergeCell ref="A21:C21"/>
    <mergeCell ref="E21:M21"/>
    <mergeCell ref="A25:C25"/>
    <mergeCell ref="E25:M25"/>
    <mergeCell ref="F27:P27"/>
    <mergeCell ref="F28:P28"/>
    <mergeCell ref="F29:P29"/>
    <mergeCell ref="F30:P30"/>
    <mergeCell ref="F31:P31"/>
    <mergeCell ref="A32:E32"/>
    <mergeCell ref="F32:P32"/>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23"/>
  <sheetViews>
    <sheetView zoomScale="55" zoomScaleNormal="55" workbookViewId="0">
      <selection activeCell="F17" sqref="F17:P17"/>
    </sheetView>
  </sheetViews>
  <sheetFormatPr defaultColWidth="11" defaultRowHeight="13.85" customHeight="1"/>
  <cols>
    <col min="1" max="1" width="13.1640625" style="98" customWidth="1"/>
    <col min="2" max="2" width="13.6640625" style="98" customWidth="1"/>
    <col min="3" max="3" width="18.8359375" style="98" customWidth="1"/>
    <col min="4" max="4" width="17.1640625" style="98" customWidth="1"/>
    <col min="5" max="5" width="8.1640625" style="98" customWidth="1"/>
    <col min="6" max="6" width="13.3359375" style="98" customWidth="1"/>
    <col min="7" max="7" width="13.125" style="98"/>
    <col min="8" max="10" width="12.328125" style="98" customWidth="1"/>
    <col min="11" max="16" width="17.5" style="98" customWidth="1"/>
    <col min="17" max="17" width="11.1640625" style="98" customWidth="1"/>
    <col min="18" max="18" width="8.1640625" style="98" customWidth="1"/>
    <col min="19" max="19" width="12.328125" style="98" customWidth="1"/>
    <col min="20" max="20" width="12" style="98" customWidth="1"/>
    <col min="21" max="21" width="10" style="98" customWidth="1"/>
    <col min="22" max="22" width="8.1640625" style="98" customWidth="1"/>
    <col min="23" max="23" width="9.6640625" style="98" customWidth="1"/>
    <col min="24" max="42" width="11" style="98" customWidth="1"/>
  </cols>
  <sheetData>
    <row r="1" s="97" customFormat="1" ht="39" customHeight="1" spans="1:23">
      <c r="A1" s="99" t="s">
        <v>581</v>
      </c>
      <c r="B1" s="100"/>
      <c r="C1" s="100"/>
      <c r="D1" s="100"/>
      <c r="E1" s="100"/>
      <c r="F1" s="100"/>
      <c r="G1" s="100"/>
      <c r="H1" s="100"/>
      <c r="I1" s="100"/>
      <c r="J1" s="100"/>
      <c r="K1" s="100"/>
      <c r="L1" s="100"/>
      <c r="M1" s="100"/>
      <c r="N1" s="100"/>
      <c r="O1" s="100"/>
      <c r="P1" s="100"/>
      <c r="Q1" s="101"/>
      <c r="R1" s="101"/>
      <c r="S1" s="101"/>
    </row>
    <row r="2" s="97" customFormat="1" ht="39" customHeight="1" spans="1:23">
      <c r="A2" s="62" t="s">
        <v>16</v>
      </c>
      <c r="B2" s="62" t="s">
        <v>17</v>
      </c>
      <c r="C2" s="62" t="s">
        <v>18</v>
      </c>
      <c r="D2" s="62" t="s">
        <v>65</v>
      </c>
      <c r="E2" s="62" t="s">
        <v>46</v>
      </c>
      <c r="F2" s="62" t="s">
        <v>66</v>
      </c>
      <c r="G2" s="62" t="s">
        <v>67</v>
      </c>
      <c r="H2" s="62" t="s">
        <v>43</v>
      </c>
      <c r="I2" s="62" t="s">
        <v>68</v>
      </c>
      <c r="J2" s="35" t="s">
        <v>69</v>
      </c>
      <c r="K2" s="62" t="s">
        <v>328</v>
      </c>
      <c r="L2" s="62" t="s">
        <v>71</v>
      </c>
      <c r="M2" s="102" t="s">
        <v>72</v>
      </c>
      <c r="N2" s="102" t="s">
        <v>73</v>
      </c>
      <c r="O2" s="35" t="s">
        <v>74</v>
      </c>
      <c r="P2" s="62" t="s">
        <v>75</v>
      </c>
      <c r="Q2" s="101"/>
      <c r="R2" s="101"/>
      <c r="S2" s="101"/>
    </row>
    <row r="3" s="97" customFormat="1" ht="39" customHeight="1" spans="1:23">
      <c r="A3" s="14">
        <v>50</v>
      </c>
      <c r="B3" s="14" t="s">
        <v>30</v>
      </c>
      <c r="C3" s="14" t="s">
        <v>31</v>
      </c>
      <c r="D3" s="14">
        <v>1</v>
      </c>
      <c r="E3" s="14" t="s">
        <v>53</v>
      </c>
      <c r="F3" s="63">
        <v>22.77</v>
      </c>
      <c r="G3" s="19"/>
      <c r="H3" s="103">
        <v>45929</v>
      </c>
      <c r="I3" s="65">
        <v>46126</v>
      </c>
      <c r="J3" s="103">
        <f>H3+90</f>
        <v>46019</v>
      </c>
      <c r="K3" s="15">
        <v>46113</v>
      </c>
      <c r="L3" s="104">
        <v>46125</v>
      </c>
      <c r="M3" s="29">
        <v>13</v>
      </c>
      <c r="N3" s="33">
        <f>M3*F3*D3</f>
        <v>296.01</v>
      </c>
      <c r="O3" s="19">
        <f>L3-K3+1</f>
        <v>13</v>
      </c>
      <c r="P3" s="67">
        <f>D3*F3*O3</f>
        <v>296.01</v>
      </c>
      <c r="Q3" s="105" t="s">
        <v>133</v>
      </c>
      <c r="R3" s="101"/>
      <c r="S3" s="101"/>
    </row>
    <row r="4" s="58" customFormat="1" ht="39" customHeight="1" spans="1:23">
      <c r="A4" s="29" t="s">
        <v>126</v>
      </c>
      <c r="B4" s="29"/>
      <c r="C4" s="29"/>
      <c r="D4" s="29">
        <f>SUM(D3)</f>
        <v>1</v>
      </c>
      <c r="E4" s="29" t="s">
        <v>127</v>
      </c>
      <c r="F4" s="29"/>
      <c r="G4" s="29"/>
      <c r="H4" s="29"/>
      <c r="I4" s="29"/>
      <c r="J4" s="29"/>
      <c r="K4" s="29"/>
      <c r="L4" s="29"/>
      <c r="M4" s="29"/>
      <c r="N4" s="33">
        <f>SUM(N3)</f>
        <v>296.01</v>
      </c>
      <c r="O4" s="34"/>
      <c r="P4" s="33">
        <f>SUM(P3)</f>
        <v>296.01</v>
      </c>
    </row>
    <row r="5" s="97" customFormat="1" ht="39" customHeight="1" spans="1:23">
      <c r="O5" s="101"/>
      <c r="P5" s="101"/>
      <c r="Q5" s="101"/>
      <c r="R5" s="101"/>
      <c r="S5" s="101"/>
    </row>
    <row r="6" s="97" customFormat="1" ht="39" customHeight="1" spans="1:23">
      <c r="A6" s="99" t="s">
        <v>582</v>
      </c>
      <c r="B6" s="100"/>
      <c r="C6" s="100"/>
      <c r="D6" s="100"/>
      <c r="E6" s="100"/>
      <c r="F6" s="100"/>
      <c r="G6" s="100"/>
      <c r="H6" s="100"/>
      <c r="I6" s="100"/>
      <c r="J6" s="100"/>
      <c r="K6" s="100"/>
      <c r="L6" s="100"/>
      <c r="M6" s="100"/>
      <c r="N6" s="100"/>
      <c r="O6" s="100"/>
      <c r="P6" s="100"/>
      <c r="Q6" s="101"/>
      <c r="R6" s="101"/>
      <c r="S6" s="101"/>
    </row>
    <row r="7" s="97" customFormat="1" ht="39" customHeight="1" spans="1:23">
      <c r="A7" s="62" t="s">
        <v>16</v>
      </c>
      <c r="B7" s="62" t="s">
        <v>17</v>
      </c>
      <c r="C7" s="62" t="s">
        <v>18</v>
      </c>
      <c r="D7" s="62" t="s">
        <v>65</v>
      </c>
      <c r="E7" s="62" t="s">
        <v>46</v>
      </c>
      <c r="F7" s="62" t="s">
        <v>66</v>
      </c>
      <c r="G7" s="62" t="s">
        <v>322</v>
      </c>
      <c r="H7" s="62" t="s">
        <v>43</v>
      </c>
      <c r="I7" s="62" t="s">
        <v>68</v>
      </c>
      <c r="J7" s="35" t="s">
        <v>69</v>
      </c>
      <c r="K7" s="62" t="s">
        <v>328</v>
      </c>
      <c r="L7" s="62" t="s">
        <v>71</v>
      </c>
      <c r="M7" s="102" t="s">
        <v>72</v>
      </c>
      <c r="N7" s="102" t="s">
        <v>73</v>
      </c>
      <c r="O7" s="35" t="s">
        <v>74</v>
      </c>
      <c r="P7" s="62" t="s">
        <v>75</v>
      </c>
      <c r="Q7" s="101"/>
      <c r="R7" s="101"/>
      <c r="S7" s="101"/>
      <c r="T7" s="101"/>
      <c r="U7" s="101"/>
      <c r="V7" s="101"/>
      <c r="W7" s="101"/>
    </row>
    <row r="8" s="97" customFormat="1" ht="39" customHeight="1" spans="1:23">
      <c r="A8" s="14">
        <v>26</v>
      </c>
      <c r="B8" s="14" t="s">
        <v>21</v>
      </c>
      <c r="C8" s="14" t="s">
        <v>22</v>
      </c>
      <c r="D8" s="19">
        <v>1</v>
      </c>
      <c r="E8" s="14" t="s">
        <v>53</v>
      </c>
      <c r="F8" s="63">
        <v>5.53</v>
      </c>
      <c r="G8" s="106" t="s">
        <v>583</v>
      </c>
      <c r="H8" s="103">
        <v>45929</v>
      </c>
      <c r="I8" s="103"/>
      <c r="J8" s="103">
        <f>H8+90</f>
        <v>46019</v>
      </c>
      <c r="K8" s="15">
        <v>46113</v>
      </c>
      <c r="L8" s="104">
        <v>46142</v>
      </c>
      <c r="M8" s="29">
        <f t="shared" ref="M8:M11" si="0">L8-K8+1</f>
        <v>30</v>
      </c>
      <c r="N8" s="33">
        <f t="shared" ref="N8:N11" si="1">M8*F8*D8</f>
        <v>165.9</v>
      </c>
      <c r="O8" s="107">
        <f>L8-K8+1</f>
        <v>30</v>
      </c>
      <c r="P8" s="67">
        <f>D8*F8*O8</f>
        <v>165.9</v>
      </c>
      <c r="Q8" s="101"/>
      <c r="R8" s="101"/>
      <c r="S8" s="101"/>
      <c r="T8" s="101"/>
      <c r="U8" s="101"/>
      <c r="V8" s="101"/>
      <c r="W8" s="101"/>
    </row>
    <row r="9" s="97" customFormat="1" ht="39" customHeight="1" spans="1:23">
      <c r="A9" s="14">
        <v>26</v>
      </c>
      <c r="B9" s="14" t="s">
        <v>21</v>
      </c>
      <c r="C9" s="14" t="s">
        <v>22</v>
      </c>
      <c r="D9" s="19">
        <v>1</v>
      </c>
      <c r="E9" s="14" t="s">
        <v>53</v>
      </c>
      <c r="F9" s="63">
        <v>5.53</v>
      </c>
      <c r="G9" s="106" t="s">
        <v>584</v>
      </c>
      <c r="H9" s="103">
        <v>45929</v>
      </c>
      <c r="I9" s="103"/>
      <c r="J9" s="103">
        <f>H9+90</f>
        <v>46019</v>
      </c>
      <c r="K9" s="15">
        <v>46113</v>
      </c>
      <c r="L9" s="104">
        <v>46142</v>
      </c>
      <c r="M9" s="29">
        <f t="shared" si="0"/>
        <v>30</v>
      </c>
      <c r="N9" s="33">
        <f t="shared" si="1"/>
        <v>165.9</v>
      </c>
      <c r="O9" s="107">
        <f>L9-K9+1</f>
        <v>30</v>
      </c>
      <c r="P9" s="67">
        <f>D9*F9*O9</f>
        <v>165.9</v>
      </c>
      <c r="Q9" s="101"/>
      <c r="R9" s="101"/>
      <c r="S9" s="101"/>
      <c r="T9" s="101"/>
      <c r="U9" s="101"/>
      <c r="V9" s="101"/>
      <c r="W9" s="101"/>
    </row>
    <row r="10" s="97" customFormat="1" ht="39" customHeight="1" spans="1:23">
      <c r="A10" s="14">
        <v>26</v>
      </c>
      <c r="B10" s="14" t="s">
        <v>21</v>
      </c>
      <c r="C10" s="14" t="s">
        <v>22</v>
      </c>
      <c r="D10" s="19">
        <v>1</v>
      </c>
      <c r="E10" s="14" t="s">
        <v>53</v>
      </c>
      <c r="F10" s="63">
        <v>5.53</v>
      </c>
      <c r="G10" s="106" t="s">
        <v>585</v>
      </c>
      <c r="H10" s="103">
        <v>45929</v>
      </c>
      <c r="I10" s="103"/>
      <c r="J10" s="103">
        <f>H10+90</f>
        <v>46019</v>
      </c>
      <c r="K10" s="15">
        <v>46113</v>
      </c>
      <c r="L10" s="104">
        <v>46142</v>
      </c>
      <c r="M10" s="29">
        <f t="shared" si="0"/>
        <v>30</v>
      </c>
      <c r="N10" s="33">
        <f t="shared" si="1"/>
        <v>165.9</v>
      </c>
      <c r="O10" s="107">
        <f>L10-K10+1</f>
        <v>30</v>
      </c>
      <c r="P10" s="67">
        <f>D10*F10*O10</f>
        <v>165.9</v>
      </c>
      <c r="Q10" s="101"/>
      <c r="R10" s="101"/>
      <c r="S10" s="101"/>
      <c r="T10" s="101"/>
      <c r="U10" s="101"/>
      <c r="V10" s="101"/>
      <c r="W10" s="101"/>
    </row>
    <row r="11" s="97" customFormat="1" ht="39" customHeight="1" spans="1:23">
      <c r="A11" s="14">
        <v>26</v>
      </c>
      <c r="B11" s="14" t="s">
        <v>21</v>
      </c>
      <c r="C11" s="14" t="s">
        <v>22</v>
      </c>
      <c r="D11" s="19">
        <v>1</v>
      </c>
      <c r="E11" s="14" t="s">
        <v>53</v>
      </c>
      <c r="F11" s="63">
        <v>5.53</v>
      </c>
      <c r="G11" s="106" t="s">
        <v>586</v>
      </c>
      <c r="H11" s="103">
        <v>45929</v>
      </c>
      <c r="I11" s="103"/>
      <c r="J11" s="103">
        <f>H11+90</f>
        <v>46019</v>
      </c>
      <c r="K11" s="15">
        <v>46113</v>
      </c>
      <c r="L11" s="104">
        <v>46142</v>
      </c>
      <c r="M11" s="29">
        <f t="shared" si="0"/>
        <v>30</v>
      </c>
      <c r="N11" s="33">
        <f t="shared" si="1"/>
        <v>165.9</v>
      </c>
      <c r="O11" s="107">
        <f>L11-K11+1</f>
        <v>30</v>
      </c>
      <c r="P11" s="67">
        <f>D11*F11*O11</f>
        <v>165.9</v>
      </c>
      <c r="Q11" s="101"/>
      <c r="R11" s="101"/>
      <c r="S11" s="101"/>
      <c r="T11" s="101"/>
      <c r="U11" s="101"/>
      <c r="V11" s="101"/>
      <c r="W11" s="101"/>
    </row>
    <row r="12" s="58" customFormat="1" ht="39" customHeight="1" spans="1:23">
      <c r="A12" s="29" t="s">
        <v>126</v>
      </c>
      <c r="B12" s="29"/>
      <c r="C12" s="29"/>
      <c r="D12" s="29">
        <f>SUM(D11)</f>
        <v>1</v>
      </c>
      <c r="E12" s="29" t="s">
        <v>127</v>
      </c>
      <c r="F12" s="29"/>
      <c r="G12" s="29"/>
      <c r="H12" s="29"/>
      <c r="I12" s="29"/>
      <c r="J12" s="29"/>
      <c r="K12" s="29"/>
      <c r="L12" s="29"/>
      <c r="M12" s="29"/>
      <c r="N12" s="33">
        <f>SUM(N8:N11)</f>
        <v>663.6</v>
      </c>
      <c r="O12" s="34"/>
      <c r="P12" s="33">
        <f>SUM(P8:P11)</f>
        <v>663.6</v>
      </c>
    </row>
    <row r="13" s="98" customFormat="1" ht="39" customHeight="1" spans="1:23">
      <c r="O13"/>
      <c r="P13"/>
    </row>
    <row r="14" ht="45" customHeight="1" spans="1:23">
      <c r="A14" s="25" t="s">
        <v>16</v>
      </c>
      <c r="B14" s="25" t="s">
        <v>17</v>
      </c>
      <c r="C14" s="25" t="s">
        <v>18</v>
      </c>
      <c r="D14" s="25" t="s">
        <v>65</v>
      </c>
      <c r="E14" s="25" t="s">
        <v>46</v>
      </c>
      <c r="F14" s="25" t="s">
        <v>75</v>
      </c>
      <c r="G14" s="25"/>
      <c r="H14" s="25"/>
      <c r="I14" s="25"/>
      <c r="J14" s="25"/>
      <c r="K14" s="25"/>
      <c r="L14" s="25"/>
      <c r="M14" s="25"/>
      <c r="N14" s="25"/>
      <c r="O14" s="25"/>
      <c r="P14" s="25"/>
    </row>
    <row r="15" ht="45" customHeight="1" spans="1:23">
      <c r="A15" s="27">
        <v>50</v>
      </c>
      <c r="B15" s="27" t="s">
        <v>30</v>
      </c>
      <c r="C15" s="27" t="s">
        <v>31</v>
      </c>
      <c r="D15" s="27">
        <v>1</v>
      </c>
      <c r="E15" s="27" t="s">
        <v>53</v>
      </c>
      <c r="F15" s="108">
        <f>P4</f>
        <v>296.01</v>
      </c>
      <c r="G15" s="108"/>
      <c r="H15" s="108"/>
      <c r="I15" s="108"/>
      <c r="J15" s="108"/>
      <c r="K15" s="108"/>
      <c r="L15" s="108"/>
      <c r="M15" s="108"/>
      <c r="N15" s="108"/>
      <c r="O15" s="108"/>
      <c r="P15" s="108"/>
    </row>
    <row r="16" ht="45" customHeight="1" spans="1:23">
      <c r="A16" s="27">
        <v>26</v>
      </c>
      <c r="B16" s="27" t="s">
        <v>21</v>
      </c>
      <c r="C16" s="27" t="s">
        <v>22</v>
      </c>
      <c r="D16" s="32">
        <v>4</v>
      </c>
      <c r="E16" s="27" t="s">
        <v>53</v>
      </c>
      <c r="F16" s="32">
        <f>SUM(P8:P11)</f>
        <v>663.6</v>
      </c>
      <c r="G16" s="32"/>
      <c r="H16" s="32"/>
      <c r="I16" s="32"/>
      <c r="J16" s="32"/>
      <c r="K16" s="32"/>
      <c r="L16" s="32"/>
      <c r="M16" s="32"/>
      <c r="N16" s="32"/>
      <c r="O16" s="32"/>
      <c r="P16" s="32"/>
    </row>
    <row r="17" ht="45" customHeight="1" spans="1:16">
      <c r="A17" s="32" t="s">
        <v>146</v>
      </c>
      <c r="B17" s="32"/>
      <c r="C17" s="32"/>
      <c r="D17" s="32"/>
      <c r="E17" s="32"/>
      <c r="F17" s="56">
        <f>SUM(F15:F16)</f>
        <v>959.61</v>
      </c>
      <c r="G17" s="56"/>
      <c r="H17" s="56"/>
      <c r="I17" s="56"/>
      <c r="J17" s="56"/>
      <c r="K17" s="56"/>
      <c r="L17" s="56"/>
      <c r="M17" s="56"/>
      <c r="N17" s="56"/>
      <c r="O17" s="56"/>
      <c r="P17" s="56"/>
    </row>
    <row r="18" customHeight="1" spans="1:16">
      <c r="O18"/>
      <c r="P18"/>
    </row>
    <row r="19" customHeight="1" spans="1:16">
      <c r="O19"/>
      <c r="P19"/>
    </row>
    <row r="20" customHeight="1" spans="1:16">
      <c r="O20"/>
      <c r="P20"/>
    </row>
    <row r="21" customHeight="1" spans="1:16">
      <c r="O21"/>
      <c r="P21"/>
    </row>
    <row r="22" customHeight="1" spans="1:16">
      <c r="O22"/>
      <c r="P22"/>
    </row>
    <row r="23" customHeight="1" spans="1:16">
      <c r="O23"/>
      <c r="P23"/>
    </row>
  </sheetData>
  <mergeCells count="11">
    <mergeCell ref="A1:P1"/>
    <mergeCell ref="A4:C4"/>
    <mergeCell ref="E4:M4"/>
    <mergeCell ref="A6:P6"/>
    <mergeCell ref="A12:C12"/>
    <mergeCell ref="E12:M12"/>
    <mergeCell ref="F14:P14"/>
    <mergeCell ref="F15:P15"/>
    <mergeCell ref="F16:P16"/>
    <mergeCell ref="A17:E17"/>
    <mergeCell ref="F17:P17"/>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K55"/>
  <sheetViews>
    <sheetView zoomScale="55" zoomScaleNormal="55" topLeftCell="A12" workbookViewId="0">
      <selection activeCell="F55" sqref="F55:P55"/>
    </sheetView>
  </sheetViews>
  <sheetFormatPr defaultColWidth="8.8359375" defaultRowHeight="21" customHeight="1"/>
  <cols>
    <col min="1" max="2" width="10.828125" style="1" customWidth="1"/>
    <col min="3" max="3" width="22.828125" style="1" customWidth="1"/>
    <col min="4" max="4" width="4.1640625" style="1" customWidth="1"/>
    <col min="5" max="5" width="8.3359375" style="1" customWidth="1"/>
    <col min="6" max="6" width="7.6640625" style="1" customWidth="1"/>
    <col min="7" max="16" width="18.5078125" style="1" customWidth="1"/>
    <col min="17" max="16384" width="8.8359375" style="22"/>
  </cols>
  <sheetData>
    <row r="1" s="21" customFormat="1" ht="36" customHeight="1" spans="1:18">
      <c r="A1" s="61" t="s">
        <v>587</v>
      </c>
      <c r="B1" s="61"/>
      <c r="C1" s="61"/>
      <c r="D1" s="61"/>
      <c r="E1" s="61"/>
      <c r="F1" s="61"/>
      <c r="G1" s="61"/>
      <c r="H1" s="61"/>
      <c r="I1" s="61"/>
      <c r="J1" s="61"/>
      <c r="K1" s="61"/>
      <c r="L1" s="61"/>
      <c r="M1" s="61"/>
      <c r="N1" s="61"/>
      <c r="O1" s="44"/>
      <c r="P1" s="44"/>
    </row>
    <row r="2" s="21" customFormat="1" ht="36" customHeight="1" spans="1:18">
      <c r="A2" s="13" t="s">
        <v>16</v>
      </c>
      <c r="B2" s="13" t="s">
        <v>17</v>
      </c>
      <c r="C2" s="13" t="s">
        <v>18</v>
      </c>
      <c r="D2" s="13" t="s">
        <v>65</v>
      </c>
      <c r="E2" s="13" t="s">
        <v>46</v>
      </c>
      <c r="F2" s="13" t="s">
        <v>66</v>
      </c>
      <c r="G2" s="13" t="s">
        <v>67</v>
      </c>
      <c r="H2" s="13" t="s">
        <v>43</v>
      </c>
      <c r="I2" s="13" t="s">
        <v>68</v>
      </c>
      <c r="J2" s="25" t="s">
        <v>69</v>
      </c>
      <c r="K2" s="13" t="s">
        <v>328</v>
      </c>
      <c r="L2" s="62" t="s">
        <v>71</v>
      </c>
      <c r="M2" s="26" t="s">
        <v>72</v>
      </c>
      <c r="N2" s="26" t="s">
        <v>73</v>
      </c>
      <c r="O2" s="25" t="s">
        <v>74</v>
      </c>
      <c r="P2" s="13" t="s">
        <v>75</v>
      </c>
    </row>
    <row r="3" s="21" customFormat="1" ht="49" customHeight="1" spans="1:18">
      <c r="A3" s="14">
        <v>50</v>
      </c>
      <c r="B3" s="14" t="s">
        <v>30</v>
      </c>
      <c r="C3" s="14" t="s">
        <v>31</v>
      </c>
      <c r="D3" s="14">
        <v>1</v>
      </c>
      <c r="E3" s="14" t="s">
        <v>53</v>
      </c>
      <c r="F3" s="63">
        <v>22.77</v>
      </c>
      <c r="G3" s="19"/>
      <c r="H3" s="64">
        <v>45966</v>
      </c>
      <c r="I3" s="65">
        <v>46126</v>
      </c>
      <c r="J3" s="66">
        <f>H3+90</f>
        <v>46056</v>
      </c>
      <c r="K3" s="15">
        <v>46113</v>
      </c>
      <c r="L3" s="64">
        <v>46125</v>
      </c>
      <c r="M3" s="19">
        <v>13</v>
      </c>
      <c r="N3" s="67">
        <f>M3*F3*D3</f>
        <v>296.01</v>
      </c>
      <c r="O3" s="19">
        <f>L3-K3+1</f>
        <v>13</v>
      </c>
      <c r="P3" s="67">
        <f>D3*F3*O3</f>
        <v>296.01</v>
      </c>
    </row>
    <row r="4" s="21" customFormat="1" ht="49" customHeight="1" spans="1:18">
      <c r="A4" s="29" t="s">
        <v>126</v>
      </c>
      <c r="B4" s="29"/>
      <c r="C4" s="29"/>
      <c r="D4" s="29">
        <f>SUM(D3)</f>
        <v>1</v>
      </c>
      <c r="E4" s="29" t="s">
        <v>127</v>
      </c>
      <c r="F4" s="29"/>
      <c r="G4" s="29"/>
      <c r="H4" s="29"/>
      <c r="I4" s="29"/>
      <c r="J4" s="29"/>
      <c r="K4" s="29"/>
      <c r="L4" s="29"/>
      <c r="M4" s="29"/>
      <c r="N4" s="33">
        <f>SUM(N3)</f>
        <v>296.01</v>
      </c>
      <c r="O4" s="34"/>
      <c r="P4" s="33">
        <f>SUM(P3)</f>
        <v>296.01</v>
      </c>
    </row>
    <row r="5" s="21" customFormat="1" ht="34" customHeight="1"/>
    <row r="6" s="21" customFormat="1" ht="39" customHeight="1" spans="1:18">
      <c r="A6" s="61" t="s">
        <v>588</v>
      </c>
      <c r="B6" s="61"/>
      <c r="C6" s="61"/>
      <c r="D6" s="61"/>
      <c r="E6" s="61"/>
      <c r="F6" s="61"/>
      <c r="G6" s="61"/>
      <c r="H6" s="61"/>
      <c r="I6" s="61"/>
      <c r="J6" s="61"/>
      <c r="K6" s="61"/>
      <c r="L6" s="61"/>
      <c r="M6" s="61"/>
      <c r="N6" s="61"/>
      <c r="O6" s="1"/>
      <c r="P6" s="44"/>
    </row>
    <row r="7" s="21" customFormat="1" ht="39" customHeight="1" spans="1:18">
      <c r="A7" s="68" t="s">
        <v>16</v>
      </c>
      <c r="B7" s="68" t="s">
        <v>17</v>
      </c>
      <c r="C7" s="68" t="s">
        <v>18</v>
      </c>
      <c r="D7" s="68" t="s">
        <v>65</v>
      </c>
      <c r="E7" s="68" t="s">
        <v>46</v>
      </c>
      <c r="F7" s="68" t="s">
        <v>66</v>
      </c>
      <c r="G7" s="68" t="s">
        <v>322</v>
      </c>
      <c r="H7" s="68" t="s">
        <v>43</v>
      </c>
      <c r="I7" s="68" t="s">
        <v>68</v>
      </c>
      <c r="J7" s="69" t="s">
        <v>69</v>
      </c>
      <c r="K7" s="68" t="s">
        <v>328</v>
      </c>
      <c r="L7" s="70" t="s">
        <v>71</v>
      </c>
      <c r="M7" s="71" t="s">
        <v>72</v>
      </c>
      <c r="N7" s="71" t="s">
        <v>73</v>
      </c>
      <c r="O7" s="69" t="s">
        <v>74</v>
      </c>
      <c r="P7" s="68" t="s">
        <v>75</v>
      </c>
      <c r="Q7" s="44"/>
      <c r="R7" s="44"/>
    </row>
    <row r="8" s="57" customFormat="1" ht="39" customHeight="1" spans="1:18">
      <c r="A8" s="72">
        <v>26</v>
      </c>
      <c r="B8" s="72" t="s">
        <v>21</v>
      </c>
      <c r="C8" s="72" t="s">
        <v>22</v>
      </c>
      <c r="D8" s="73">
        <v>1</v>
      </c>
      <c r="E8" s="72" t="s">
        <v>53</v>
      </c>
      <c r="F8" s="74">
        <v>5.53</v>
      </c>
      <c r="G8" s="75" t="s">
        <v>589</v>
      </c>
      <c r="H8" s="66">
        <v>45966</v>
      </c>
      <c r="I8" s="76">
        <v>46113</v>
      </c>
      <c r="J8" s="66">
        <f t="shared" ref="J8:J13" si="0">H8+90</f>
        <v>46056</v>
      </c>
      <c r="K8" s="77">
        <v>46113</v>
      </c>
      <c r="L8" s="77">
        <v>46113</v>
      </c>
      <c r="M8" s="29">
        <v>21</v>
      </c>
      <c r="N8" s="33">
        <f t="shared" ref="N8:N21" si="1">M8*F8*D8</f>
        <v>116.13</v>
      </c>
      <c r="O8" s="78">
        <v>0</v>
      </c>
      <c r="P8" s="79">
        <f t="shared" ref="P8:P21" si="2">D8*F8*O8</f>
        <v>0</v>
      </c>
      <c r="Q8" s="80"/>
      <c r="R8" s="80"/>
    </row>
    <row r="9" s="57" customFormat="1" ht="39" customHeight="1" spans="1:18">
      <c r="A9" s="72">
        <v>26</v>
      </c>
      <c r="B9" s="72" t="s">
        <v>21</v>
      </c>
      <c r="C9" s="72" t="s">
        <v>22</v>
      </c>
      <c r="D9" s="73">
        <v>1</v>
      </c>
      <c r="E9" s="72" t="s">
        <v>53</v>
      </c>
      <c r="F9" s="74">
        <v>5.53</v>
      </c>
      <c r="G9" s="75" t="s">
        <v>590</v>
      </c>
      <c r="H9" s="66">
        <v>45966</v>
      </c>
      <c r="I9" s="76">
        <v>46113</v>
      </c>
      <c r="J9" s="66">
        <f t="shared" si="0"/>
        <v>46056</v>
      </c>
      <c r="K9" s="77">
        <v>46113</v>
      </c>
      <c r="L9" s="77">
        <v>46113</v>
      </c>
      <c r="M9" s="29">
        <v>21</v>
      </c>
      <c r="N9" s="33">
        <f t="shared" si="1"/>
        <v>116.13</v>
      </c>
      <c r="O9" s="78">
        <v>0</v>
      </c>
      <c r="P9" s="79">
        <f t="shared" si="2"/>
        <v>0</v>
      </c>
      <c r="Q9" s="80"/>
      <c r="R9" s="80"/>
    </row>
    <row r="10" s="57" customFormat="1" ht="39" customHeight="1" spans="1:18">
      <c r="A10" s="72">
        <v>26</v>
      </c>
      <c r="B10" s="72" t="s">
        <v>21</v>
      </c>
      <c r="C10" s="72" t="s">
        <v>22</v>
      </c>
      <c r="D10" s="73">
        <v>1</v>
      </c>
      <c r="E10" s="72" t="s">
        <v>53</v>
      </c>
      <c r="F10" s="74">
        <v>5.53</v>
      </c>
      <c r="G10" s="75" t="s">
        <v>591</v>
      </c>
      <c r="H10" s="66">
        <v>45966</v>
      </c>
      <c r="I10" s="76">
        <v>46113</v>
      </c>
      <c r="J10" s="66">
        <f t="shared" si="0"/>
        <v>46056</v>
      </c>
      <c r="K10" s="77">
        <v>46113</v>
      </c>
      <c r="L10" s="77">
        <v>46113</v>
      </c>
      <c r="M10" s="29">
        <v>21</v>
      </c>
      <c r="N10" s="33">
        <f t="shared" si="1"/>
        <v>116.13</v>
      </c>
      <c r="O10" s="78">
        <v>0</v>
      </c>
      <c r="P10" s="79">
        <f t="shared" si="2"/>
        <v>0</v>
      </c>
      <c r="Q10" s="80"/>
      <c r="R10" s="80"/>
    </row>
    <row r="11" s="57" customFormat="1" ht="39" customHeight="1" spans="1:18">
      <c r="A11" s="72">
        <v>26</v>
      </c>
      <c r="B11" s="72" t="s">
        <v>21</v>
      </c>
      <c r="C11" s="72" t="s">
        <v>22</v>
      </c>
      <c r="D11" s="73">
        <v>1</v>
      </c>
      <c r="E11" s="72" t="s">
        <v>53</v>
      </c>
      <c r="F11" s="74">
        <v>5.53</v>
      </c>
      <c r="G11" s="75" t="s">
        <v>592</v>
      </c>
      <c r="H11" s="66">
        <v>45966</v>
      </c>
      <c r="I11" s="76">
        <v>46113</v>
      </c>
      <c r="J11" s="66">
        <f t="shared" si="0"/>
        <v>46056</v>
      </c>
      <c r="K11" s="77">
        <v>46113</v>
      </c>
      <c r="L11" s="77">
        <v>46113</v>
      </c>
      <c r="M11" s="29">
        <v>21</v>
      </c>
      <c r="N11" s="33">
        <f t="shared" si="1"/>
        <v>116.13</v>
      </c>
      <c r="O11" s="78">
        <v>0</v>
      </c>
      <c r="P11" s="79">
        <f t="shared" si="2"/>
        <v>0</v>
      </c>
      <c r="Q11" s="80"/>
      <c r="R11" s="80"/>
    </row>
    <row r="12" s="57" customFormat="1" ht="39" customHeight="1" spans="1:18">
      <c r="A12" s="72">
        <v>26</v>
      </c>
      <c r="B12" s="72" t="s">
        <v>21</v>
      </c>
      <c r="C12" s="72" t="s">
        <v>22</v>
      </c>
      <c r="D12" s="73">
        <v>1</v>
      </c>
      <c r="E12" s="72" t="s">
        <v>53</v>
      </c>
      <c r="F12" s="74">
        <v>5.53</v>
      </c>
      <c r="G12" s="75" t="s">
        <v>593</v>
      </c>
      <c r="H12" s="66">
        <v>45957</v>
      </c>
      <c r="I12" s="76">
        <v>46113</v>
      </c>
      <c r="J12" s="66">
        <f t="shared" si="0"/>
        <v>46047</v>
      </c>
      <c r="K12" s="77">
        <v>46113</v>
      </c>
      <c r="L12" s="77">
        <v>46113</v>
      </c>
      <c r="M12" s="29">
        <v>21</v>
      </c>
      <c r="N12" s="33">
        <f t="shared" si="1"/>
        <v>116.13</v>
      </c>
      <c r="O12" s="78">
        <v>0</v>
      </c>
      <c r="P12" s="79">
        <f t="shared" si="2"/>
        <v>0</v>
      </c>
      <c r="Q12" s="80"/>
      <c r="R12" s="80"/>
    </row>
    <row r="13" s="21" customFormat="1" ht="39" customHeight="1" spans="1:18">
      <c r="A13" s="27">
        <v>26</v>
      </c>
      <c r="B13" s="27" t="s">
        <v>21</v>
      </c>
      <c r="C13" s="27" t="s">
        <v>22</v>
      </c>
      <c r="D13" s="29">
        <v>1</v>
      </c>
      <c r="E13" s="27" t="s">
        <v>53</v>
      </c>
      <c r="F13" s="28">
        <v>5.53</v>
      </c>
      <c r="G13" s="37" t="s">
        <v>594</v>
      </c>
      <c r="H13" s="30">
        <v>45966</v>
      </c>
      <c r="I13" s="30"/>
      <c r="J13" s="30">
        <f t="shared" si="0"/>
        <v>46056</v>
      </c>
      <c r="K13" s="42">
        <v>46113</v>
      </c>
      <c r="L13" s="30">
        <v>46142</v>
      </c>
      <c r="M13" s="29">
        <f t="shared" ref="M13:M21" si="3">L13-K13+1</f>
        <v>30</v>
      </c>
      <c r="N13" s="33">
        <f t="shared" si="1"/>
        <v>165.9</v>
      </c>
      <c r="O13" s="40">
        <f t="shared" ref="O8:O21" si="4">L13-K13+1</f>
        <v>30</v>
      </c>
      <c r="P13" s="33">
        <f t="shared" si="2"/>
        <v>165.9</v>
      </c>
      <c r="Q13" s="44"/>
      <c r="R13" s="44"/>
    </row>
    <row r="14" s="21" customFormat="1" ht="39" customHeight="1" spans="1:18">
      <c r="A14" s="27">
        <v>26</v>
      </c>
      <c r="B14" s="27" t="s">
        <v>21</v>
      </c>
      <c r="C14" s="27" t="s">
        <v>22</v>
      </c>
      <c r="D14" s="29">
        <v>1</v>
      </c>
      <c r="E14" s="27" t="s">
        <v>53</v>
      </c>
      <c r="F14" s="28">
        <v>5.53</v>
      </c>
      <c r="G14" s="37" t="s">
        <v>595</v>
      </c>
      <c r="H14" s="30">
        <v>45966</v>
      </c>
      <c r="I14" s="30"/>
      <c r="J14" s="30">
        <f t="shared" ref="J14:J21" si="5">H14+90</f>
        <v>46056</v>
      </c>
      <c r="K14" s="42">
        <v>46113</v>
      </c>
      <c r="L14" s="30">
        <v>46142</v>
      </c>
      <c r="M14" s="29">
        <f t="shared" si="3"/>
        <v>30</v>
      </c>
      <c r="N14" s="33">
        <f t="shared" si="1"/>
        <v>165.9</v>
      </c>
      <c r="O14" s="40">
        <f t="shared" si="4"/>
        <v>30</v>
      </c>
      <c r="P14" s="33">
        <f t="shared" si="2"/>
        <v>165.9</v>
      </c>
      <c r="Q14" s="44"/>
      <c r="R14" s="44"/>
    </row>
    <row r="15" s="21" customFormat="1" ht="39" customHeight="1" spans="1:18">
      <c r="A15" s="27">
        <v>26</v>
      </c>
      <c r="B15" s="27" t="s">
        <v>21</v>
      </c>
      <c r="C15" s="27" t="s">
        <v>22</v>
      </c>
      <c r="D15" s="29">
        <v>1</v>
      </c>
      <c r="E15" s="27" t="s">
        <v>53</v>
      </c>
      <c r="F15" s="28">
        <v>5.53</v>
      </c>
      <c r="G15" s="37" t="s">
        <v>596</v>
      </c>
      <c r="H15" s="30">
        <v>45966</v>
      </c>
      <c r="I15" s="30"/>
      <c r="J15" s="30">
        <f t="shared" si="5"/>
        <v>46056</v>
      </c>
      <c r="K15" s="42">
        <v>46113</v>
      </c>
      <c r="L15" s="30">
        <v>46142</v>
      </c>
      <c r="M15" s="29">
        <f t="shared" si="3"/>
        <v>30</v>
      </c>
      <c r="N15" s="33">
        <f t="shared" si="1"/>
        <v>165.9</v>
      </c>
      <c r="O15" s="40">
        <f t="shared" si="4"/>
        <v>30</v>
      </c>
      <c r="P15" s="33">
        <f t="shared" si="2"/>
        <v>165.9</v>
      </c>
      <c r="Q15" s="44"/>
      <c r="R15" s="44"/>
    </row>
    <row r="16" s="21" customFormat="1" ht="39" customHeight="1" spans="1:18">
      <c r="A16" s="27">
        <v>26</v>
      </c>
      <c r="B16" s="27" t="s">
        <v>21</v>
      </c>
      <c r="C16" s="27" t="s">
        <v>22</v>
      </c>
      <c r="D16" s="29">
        <v>1</v>
      </c>
      <c r="E16" s="27" t="s">
        <v>53</v>
      </c>
      <c r="F16" s="28">
        <v>5.53</v>
      </c>
      <c r="G16" s="37" t="s">
        <v>597</v>
      </c>
      <c r="H16" s="30">
        <v>45957</v>
      </c>
      <c r="I16" s="30"/>
      <c r="J16" s="30">
        <f t="shared" si="5"/>
        <v>46047</v>
      </c>
      <c r="K16" s="42">
        <v>46113</v>
      </c>
      <c r="L16" s="30">
        <v>46142</v>
      </c>
      <c r="M16" s="29">
        <f t="shared" si="3"/>
        <v>30</v>
      </c>
      <c r="N16" s="33">
        <f t="shared" si="1"/>
        <v>165.9</v>
      </c>
      <c r="O16" s="40">
        <f t="shared" si="4"/>
        <v>30</v>
      </c>
      <c r="P16" s="33">
        <f t="shared" si="2"/>
        <v>165.9</v>
      </c>
      <c r="Q16" s="44"/>
      <c r="R16" s="44"/>
    </row>
    <row r="17" s="21" customFormat="1" ht="39" customHeight="1" spans="1:37">
      <c r="A17" s="27">
        <v>26</v>
      </c>
      <c r="B17" s="27" t="s">
        <v>21</v>
      </c>
      <c r="C17" s="27" t="s">
        <v>22</v>
      </c>
      <c r="D17" s="29">
        <v>1</v>
      </c>
      <c r="E17" s="27" t="s">
        <v>53</v>
      </c>
      <c r="F17" s="28">
        <v>5.53</v>
      </c>
      <c r="G17" s="37" t="s">
        <v>598</v>
      </c>
      <c r="H17" s="30">
        <v>45957</v>
      </c>
      <c r="I17" s="30"/>
      <c r="J17" s="30">
        <f t="shared" si="5"/>
        <v>46047</v>
      </c>
      <c r="K17" s="42">
        <v>46113</v>
      </c>
      <c r="L17" s="30">
        <v>46142</v>
      </c>
      <c r="M17" s="29">
        <f t="shared" si="3"/>
        <v>30</v>
      </c>
      <c r="N17" s="33">
        <f t="shared" si="1"/>
        <v>165.9</v>
      </c>
      <c r="O17" s="40">
        <f t="shared" si="4"/>
        <v>30</v>
      </c>
      <c r="P17" s="33">
        <f t="shared" si="2"/>
        <v>165.9</v>
      </c>
      <c r="Q17" s="44"/>
      <c r="R17" s="44"/>
    </row>
    <row r="18" s="21" customFormat="1" ht="39" customHeight="1" spans="1:37">
      <c r="A18" s="27">
        <v>26</v>
      </c>
      <c r="B18" s="27" t="s">
        <v>21</v>
      </c>
      <c r="C18" s="27" t="s">
        <v>22</v>
      </c>
      <c r="D18" s="29">
        <v>1</v>
      </c>
      <c r="E18" s="27" t="s">
        <v>53</v>
      </c>
      <c r="F18" s="28">
        <v>5.53</v>
      </c>
      <c r="G18" s="37" t="s">
        <v>599</v>
      </c>
      <c r="H18" s="30">
        <v>45957</v>
      </c>
      <c r="I18" s="30"/>
      <c r="J18" s="30">
        <f t="shared" si="5"/>
        <v>46047</v>
      </c>
      <c r="K18" s="42">
        <v>46113</v>
      </c>
      <c r="L18" s="30">
        <v>46142</v>
      </c>
      <c r="M18" s="29">
        <f t="shared" si="3"/>
        <v>30</v>
      </c>
      <c r="N18" s="33">
        <f t="shared" si="1"/>
        <v>165.9</v>
      </c>
      <c r="O18" s="40">
        <f t="shared" si="4"/>
        <v>30</v>
      </c>
      <c r="P18" s="33">
        <f t="shared" si="2"/>
        <v>165.9</v>
      </c>
      <c r="Q18" s="44"/>
      <c r="R18" s="44"/>
    </row>
    <row r="19" s="21" customFormat="1" ht="39" customHeight="1" spans="1:37">
      <c r="A19" s="27">
        <v>26</v>
      </c>
      <c r="B19" s="27" t="s">
        <v>21</v>
      </c>
      <c r="C19" s="27" t="s">
        <v>22</v>
      </c>
      <c r="D19" s="29">
        <v>1</v>
      </c>
      <c r="E19" s="27" t="s">
        <v>53</v>
      </c>
      <c r="F19" s="28">
        <v>5.53</v>
      </c>
      <c r="G19" s="37" t="s">
        <v>600</v>
      </c>
      <c r="H19" s="30">
        <v>45966</v>
      </c>
      <c r="I19" s="30"/>
      <c r="J19" s="30">
        <f t="shared" si="5"/>
        <v>46056</v>
      </c>
      <c r="K19" s="42">
        <v>46113</v>
      </c>
      <c r="L19" s="30">
        <v>46142</v>
      </c>
      <c r="M19" s="29">
        <f t="shared" si="3"/>
        <v>30</v>
      </c>
      <c r="N19" s="33">
        <f t="shared" si="1"/>
        <v>165.9</v>
      </c>
      <c r="O19" s="40">
        <f t="shared" si="4"/>
        <v>30</v>
      </c>
      <c r="P19" s="33">
        <f t="shared" si="2"/>
        <v>165.9</v>
      </c>
      <c r="Q19" s="44"/>
      <c r="R19" s="44"/>
    </row>
    <row r="20" s="21" customFormat="1" ht="39" customHeight="1" spans="1:37">
      <c r="A20" s="27">
        <v>26</v>
      </c>
      <c r="B20" s="27" t="s">
        <v>21</v>
      </c>
      <c r="C20" s="27" t="s">
        <v>22</v>
      </c>
      <c r="D20" s="29">
        <v>1</v>
      </c>
      <c r="E20" s="27" t="s">
        <v>53</v>
      </c>
      <c r="F20" s="28">
        <v>5.53</v>
      </c>
      <c r="G20" s="37" t="s">
        <v>601</v>
      </c>
      <c r="H20" s="30">
        <v>45966</v>
      </c>
      <c r="I20" s="30"/>
      <c r="J20" s="30">
        <f t="shared" si="5"/>
        <v>46056</v>
      </c>
      <c r="K20" s="42">
        <v>46113</v>
      </c>
      <c r="L20" s="30">
        <v>46142</v>
      </c>
      <c r="M20" s="29">
        <f t="shared" si="3"/>
        <v>30</v>
      </c>
      <c r="N20" s="33">
        <f t="shared" si="1"/>
        <v>165.9</v>
      </c>
      <c r="O20" s="40">
        <f t="shared" si="4"/>
        <v>30</v>
      </c>
      <c r="P20" s="33">
        <f t="shared" si="2"/>
        <v>165.9</v>
      </c>
      <c r="Q20" s="44"/>
      <c r="R20" s="44"/>
    </row>
    <row r="21" s="21" customFormat="1" ht="39" customHeight="1" spans="1:37">
      <c r="A21" s="27">
        <v>26</v>
      </c>
      <c r="B21" s="27" t="s">
        <v>21</v>
      </c>
      <c r="C21" s="27" t="s">
        <v>22</v>
      </c>
      <c r="D21" s="29">
        <v>1</v>
      </c>
      <c r="E21" s="27" t="s">
        <v>53</v>
      </c>
      <c r="F21" s="28">
        <v>5.53</v>
      </c>
      <c r="G21" s="37" t="s">
        <v>602</v>
      </c>
      <c r="H21" s="30">
        <v>45957</v>
      </c>
      <c r="I21" s="30"/>
      <c r="J21" s="30">
        <f t="shared" si="5"/>
        <v>46047</v>
      </c>
      <c r="K21" s="42">
        <v>46113</v>
      </c>
      <c r="L21" s="30">
        <v>46142</v>
      </c>
      <c r="M21" s="29">
        <f t="shared" si="3"/>
        <v>30</v>
      </c>
      <c r="N21" s="33">
        <f t="shared" si="1"/>
        <v>165.9</v>
      </c>
      <c r="O21" s="40">
        <f t="shared" si="4"/>
        <v>30</v>
      </c>
      <c r="P21" s="33">
        <f t="shared" si="2"/>
        <v>165.9</v>
      </c>
      <c r="Q21" s="44"/>
      <c r="R21" s="44"/>
    </row>
    <row r="22" s="58" customFormat="1" ht="39" customHeight="1" spans="1:37">
      <c r="A22" s="29" t="s">
        <v>126</v>
      </c>
      <c r="B22" s="29"/>
      <c r="C22" s="29"/>
      <c r="D22" s="29">
        <f>SUM(D8:D21)</f>
        <v>14</v>
      </c>
      <c r="E22" s="29" t="s">
        <v>127</v>
      </c>
      <c r="F22" s="29"/>
      <c r="G22" s="29"/>
      <c r="H22" s="29"/>
      <c r="I22" s="29"/>
      <c r="J22" s="29"/>
      <c r="K22" s="29"/>
      <c r="L22" s="29"/>
      <c r="M22" s="29"/>
      <c r="N22" s="33">
        <f>SUM(N8:N21)</f>
        <v>2073.75</v>
      </c>
      <c r="O22" s="34"/>
      <c r="P22" s="33">
        <f>SUM(P8:P21)</f>
        <v>1493.1</v>
      </c>
    </row>
    <row r="23" s="58" customFormat="1" ht="39" customHeight="1" spans="1:37">
      <c r="A23" s="81"/>
      <c r="B23" s="82"/>
      <c r="C23" s="82"/>
      <c r="D23" s="82"/>
      <c r="E23" s="82"/>
      <c r="F23" s="82"/>
      <c r="G23" s="82"/>
      <c r="H23" s="82"/>
      <c r="I23" s="82"/>
      <c r="J23" s="82"/>
      <c r="K23" s="82"/>
      <c r="L23" s="82"/>
      <c r="M23" s="82"/>
      <c r="N23" s="82"/>
      <c r="O23" s="82"/>
      <c r="P23" s="82"/>
    </row>
    <row r="24" ht="24.75" customHeight="1" spans="1:37">
      <c r="A24" s="83" t="s">
        <v>575</v>
      </c>
      <c r="B24" s="83"/>
      <c r="C24" s="83"/>
      <c r="D24" s="83"/>
      <c r="E24" s="83"/>
      <c r="F24" s="83"/>
      <c r="G24" s="83"/>
      <c r="H24" s="83"/>
      <c r="I24" s="83"/>
      <c r="J24" s="83"/>
      <c r="K24" s="83"/>
      <c r="L24" s="83"/>
      <c r="M24" s="83"/>
      <c r="N24" s="83"/>
      <c r="O24" s="83"/>
      <c r="P24" s="44"/>
      <c r="Q24" s="44"/>
      <c r="R24" s="44"/>
      <c r="S24" s="44"/>
      <c r="T24" s="44"/>
      <c r="U24" s="21"/>
      <c r="V24" s="21"/>
      <c r="W24" s="21"/>
      <c r="X24" s="21"/>
      <c r="Y24" s="21"/>
      <c r="Z24" s="21"/>
      <c r="AA24" s="21"/>
      <c r="AB24" s="21"/>
      <c r="AC24" s="21"/>
      <c r="AD24" s="21"/>
      <c r="AE24" s="21"/>
      <c r="AF24" s="21"/>
      <c r="AG24" s="21"/>
      <c r="AH24" s="21"/>
      <c r="AI24" s="21"/>
      <c r="AJ24" s="21"/>
      <c r="AK24" s="21"/>
    </row>
    <row r="25" ht="41.25" customHeight="1" spans="1:37">
      <c r="A25" s="48" t="s">
        <v>16</v>
      </c>
      <c r="B25" s="48" t="s">
        <v>17</v>
      </c>
      <c r="C25" s="48" t="s">
        <v>18</v>
      </c>
      <c r="D25" s="48" t="s">
        <v>65</v>
      </c>
      <c r="E25" s="48" t="s">
        <v>46</v>
      </c>
      <c r="F25" s="48" t="s">
        <v>66</v>
      </c>
      <c r="G25" s="48" t="s">
        <v>603</v>
      </c>
      <c r="H25" s="48" t="s">
        <v>43</v>
      </c>
      <c r="I25" s="48" t="s">
        <v>68</v>
      </c>
      <c r="J25" s="48" t="s">
        <v>69</v>
      </c>
      <c r="K25" s="48" t="s">
        <v>328</v>
      </c>
      <c r="L25" s="48" t="s">
        <v>71</v>
      </c>
      <c r="M25" s="71" t="s">
        <v>72</v>
      </c>
      <c r="N25" s="71" t="s">
        <v>73</v>
      </c>
      <c r="O25" s="48" t="s">
        <v>74</v>
      </c>
      <c r="P25" s="48" t="s">
        <v>75</v>
      </c>
      <c r="Q25" s="44"/>
      <c r="R25" s="44"/>
      <c r="S25" s="44"/>
      <c r="T25" s="44"/>
      <c r="U25" s="44"/>
      <c r="V25" s="44"/>
      <c r="W25" s="44"/>
      <c r="X25" s="44"/>
      <c r="Y25" s="44"/>
      <c r="Z25" s="44"/>
      <c r="AA25" s="44"/>
      <c r="AB25" s="44"/>
      <c r="AC25" s="44"/>
      <c r="AD25" s="44"/>
      <c r="AE25" s="44"/>
      <c r="AF25" s="44"/>
      <c r="AG25" s="44"/>
      <c r="AH25" s="44"/>
      <c r="AI25" s="44"/>
      <c r="AJ25" s="44"/>
      <c r="AK25" s="44"/>
    </row>
    <row r="26" ht="27.75" customHeight="1" spans="1:37">
      <c r="A26" s="72">
        <v>35</v>
      </c>
      <c r="B26" s="72" t="s">
        <v>51</v>
      </c>
      <c r="C26" s="72" t="s">
        <v>54</v>
      </c>
      <c r="D26" s="73">
        <v>1</v>
      </c>
      <c r="E26" s="73" t="s">
        <v>53</v>
      </c>
      <c r="F26" s="73">
        <v>1.95</v>
      </c>
      <c r="G26" s="41" t="s">
        <v>602</v>
      </c>
      <c r="H26" s="77">
        <v>46113</v>
      </c>
      <c r="I26" s="73"/>
      <c r="J26" s="84">
        <f t="shared" ref="J26:J34" si="6">H26+90</f>
        <v>46203</v>
      </c>
      <c r="K26" s="47">
        <v>46113</v>
      </c>
      <c r="L26" s="77">
        <v>46142</v>
      </c>
      <c r="M26" s="29">
        <f t="shared" ref="M26:M34" si="7">L26-K26+1</f>
        <v>30</v>
      </c>
      <c r="N26" s="33">
        <f t="shared" ref="N26:N34" si="8">M26*F26*D26</f>
        <v>58.5</v>
      </c>
      <c r="O26" s="75">
        <v>0</v>
      </c>
      <c r="P26" s="75">
        <v>0</v>
      </c>
      <c r="Q26" s="44"/>
      <c r="R26" s="44"/>
      <c r="S26" s="44"/>
      <c r="T26" s="44"/>
      <c r="U26" s="44"/>
      <c r="V26" s="44"/>
      <c r="W26" s="44"/>
      <c r="X26" s="44"/>
      <c r="Y26" s="44"/>
      <c r="Z26" s="44"/>
      <c r="AA26" s="44"/>
      <c r="AB26" s="44"/>
      <c r="AC26" s="44"/>
      <c r="AD26" s="44"/>
      <c r="AE26" s="44"/>
      <c r="AF26" s="44"/>
      <c r="AG26" s="44"/>
      <c r="AH26" s="44"/>
      <c r="AI26" s="44"/>
      <c r="AJ26" s="44"/>
      <c r="AK26" s="44"/>
    </row>
    <row r="27" ht="27.75" customHeight="1" spans="1:37">
      <c r="A27" s="72">
        <v>35</v>
      </c>
      <c r="B27" s="72" t="s">
        <v>51</v>
      </c>
      <c r="C27" s="72" t="s">
        <v>54</v>
      </c>
      <c r="D27" s="73">
        <v>1</v>
      </c>
      <c r="E27" s="73" t="s">
        <v>53</v>
      </c>
      <c r="F27" s="73">
        <v>1.95</v>
      </c>
      <c r="G27" s="41" t="s">
        <v>595</v>
      </c>
      <c r="H27" s="77">
        <v>46113</v>
      </c>
      <c r="I27" s="73"/>
      <c r="J27" s="84">
        <f t="shared" si="6"/>
        <v>46203</v>
      </c>
      <c r="K27" s="47">
        <v>46113</v>
      </c>
      <c r="L27" s="77">
        <v>46142</v>
      </c>
      <c r="M27" s="29">
        <f t="shared" si="7"/>
        <v>30</v>
      </c>
      <c r="N27" s="33">
        <f t="shared" si="8"/>
        <v>58.5</v>
      </c>
      <c r="O27" s="75">
        <v>0</v>
      </c>
      <c r="P27" s="75">
        <v>0</v>
      </c>
      <c r="Q27" s="44"/>
      <c r="R27" s="44"/>
      <c r="S27" s="44"/>
      <c r="T27" s="44"/>
      <c r="U27" s="44"/>
      <c r="V27" s="44"/>
      <c r="W27" s="44"/>
      <c r="X27" s="44"/>
      <c r="Y27" s="44"/>
      <c r="Z27" s="44"/>
      <c r="AA27" s="44"/>
      <c r="AB27" s="44"/>
      <c r="AC27" s="44"/>
      <c r="AD27" s="44"/>
      <c r="AE27" s="44"/>
      <c r="AF27" s="44"/>
      <c r="AG27" s="44"/>
      <c r="AH27" s="44"/>
      <c r="AI27" s="44"/>
      <c r="AJ27" s="44"/>
      <c r="AK27" s="44"/>
    </row>
    <row r="28" ht="27.75" customHeight="1" spans="1:37">
      <c r="A28" s="72">
        <v>35</v>
      </c>
      <c r="B28" s="72" t="s">
        <v>51</v>
      </c>
      <c r="C28" s="72" t="s">
        <v>54</v>
      </c>
      <c r="D28" s="73">
        <v>1</v>
      </c>
      <c r="E28" s="73" t="s">
        <v>53</v>
      </c>
      <c r="F28" s="73">
        <v>1.95</v>
      </c>
      <c r="G28" s="41" t="s">
        <v>594</v>
      </c>
      <c r="H28" s="77">
        <v>46113</v>
      </c>
      <c r="I28" s="73"/>
      <c r="J28" s="84">
        <f t="shared" si="6"/>
        <v>46203</v>
      </c>
      <c r="K28" s="47">
        <v>46113</v>
      </c>
      <c r="L28" s="77">
        <v>46142</v>
      </c>
      <c r="M28" s="29">
        <f t="shared" si="7"/>
        <v>30</v>
      </c>
      <c r="N28" s="33">
        <f t="shared" si="8"/>
        <v>58.5</v>
      </c>
      <c r="O28" s="75">
        <v>0</v>
      </c>
      <c r="P28" s="75">
        <v>0</v>
      </c>
      <c r="Q28" s="44"/>
      <c r="R28" s="44"/>
      <c r="S28" s="44"/>
      <c r="T28" s="44"/>
      <c r="U28" s="44"/>
      <c r="V28" s="44"/>
      <c r="W28" s="44"/>
      <c r="X28" s="44"/>
      <c r="Y28" s="44"/>
      <c r="Z28" s="44"/>
      <c r="AA28" s="44"/>
      <c r="AB28" s="44"/>
      <c r="AC28" s="44"/>
      <c r="AD28" s="44"/>
      <c r="AE28" s="44"/>
      <c r="AF28" s="44"/>
      <c r="AG28" s="44"/>
      <c r="AH28" s="44"/>
      <c r="AI28" s="44"/>
      <c r="AJ28" s="44"/>
      <c r="AK28" s="44"/>
    </row>
    <row r="29" ht="27.75" customHeight="1" spans="1:37">
      <c r="A29" s="72">
        <v>35</v>
      </c>
      <c r="B29" s="72" t="s">
        <v>51</v>
      </c>
      <c r="C29" s="72" t="s">
        <v>54</v>
      </c>
      <c r="D29" s="73">
        <v>1</v>
      </c>
      <c r="E29" s="73" t="s">
        <v>53</v>
      </c>
      <c r="F29" s="73">
        <v>1.95</v>
      </c>
      <c r="G29" s="41" t="s">
        <v>596</v>
      </c>
      <c r="H29" s="77">
        <v>46113</v>
      </c>
      <c r="I29" s="85"/>
      <c r="J29" s="84">
        <f t="shared" si="6"/>
        <v>46203</v>
      </c>
      <c r="K29" s="47">
        <v>46113</v>
      </c>
      <c r="L29" s="77">
        <v>46142</v>
      </c>
      <c r="M29" s="29">
        <f t="shared" si="7"/>
        <v>30</v>
      </c>
      <c r="N29" s="33">
        <f t="shared" si="8"/>
        <v>58.5</v>
      </c>
      <c r="O29" s="75">
        <v>0</v>
      </c>
      <c r="P29" s="75">
        <v>0</v>
      </c>
    </row>
    <row r="30" ht="27.75" customHeight="1" spans="1:37">
      <c r="A30" s="72">
        <v>35</v>
      </c>
      <c r="B30" s="72" t="s">
        <v>51</v>
      </c>
      <c r="C30" s="72" t="s">
        <v>54</v>
      </c>
      <c r="D30" s="73">
        <v>1</v>
      </c>
      <c r="E30" s="73" t="s">
        <v>53</v>
      </c>
      <c r="F30" s="73">
        <v>1.95</v>
      </c>
      <c r="G30" s="41" t="s">
        <v>597</v>
      </c>
      <c r="H30" s="77">
        <v>46113</v>
      </c>
      <c r="I30" s="85"/>
      <c r="J30" s="84">
        <f t="shared" si="6"/>
        <v>46203</v>
      </c>
      <c r="K30" s="47">
        <v>46113</v>
      </c>
      <c r="L30" s="77">
        <v>46142</v>
      </c>
      <c r="M30" s="29">
        <f t="shared" si="7"/>
        <v>30</v>
      </c>
      <c r="N30" s="33">
        <f t="shared" si="8"/>
        <v>58.5</v>
      </c>
      <c r="O30" s="75">
        <v>0</v>
      </c>
      <c r="P30" s="75">
        <v>0</v>
      </c>
    </row>
    <row r="31" ht="27.75" customHeight="1" spans="1:37">
      <c r="A31" s="72">
        <v>35</v>
      </c>
      <c r="B31" s="72" t="s">
        <v>51</v>
      </c>
      <c r="C31" s="72" t="s">
        <v>54</v>
      </c>
      <c r="D31" s="73">
        <v>1</v>
      </c>
      <c r="E31" s="73" t="s">
        <v>53</v>
      </c>
      <c r="F31" s="73">
        <v>1.95</v>
      </c>
      <c r="G31" s="41" t="s">
        <v>600</v>
      </c>
      <c r="H31" s="77">
        <v>46113</v>
      </c>
      <c r="I31" s="85"/>
      <c r="J31" s="84">
        <f t="shared" si="6"/>
        <v>46203</v>
      </c>
      <c r="K31" s="47">
        <v>46113</v>
      </c>
      <c r="L31" s="77">
        <v>46142</v>
      </c>
      <c r="M31" s="29">
        <f t="shared" si="7"/>
        <v>30</v>
      </c>
      <c r="N31" s="33">
        <f t="shared" si="8"/>
        <v>58.5</v>
      </c>
      <c r="O31" s="75">
        <v>0</v>
      </c>
      <c r="P31" s="75">
        <v>0</v>
      </c>
    </row>
    <row r="32" ht="27.75" customHeight="1" spans="1:37">
      <c r="A32" s="72">
        <v>35</v>
      </c>
      <c r="B32" s="72" t="s">
        <v>51</v>
      </c>
      <c r="C32" s="72" t="s">
        <v>54</v>
      </c>
      <c r="D32" s="73">
        <v>1</v>
      </c>
      <c r="E32" s="73" t="s">
        <v>53</v>
      </c>
      <c r="F32" s="73">
        <v>1.95</v>
      </c>
      <c r="G32" s="41" t="s">
        <v>601</v>
      </c>
      <c r="H32" s="77">
        <v>46113</v>
      </c>
      <c r="I32" s="85"/>
      <c r="J32" s="84">
        <f t="shared" si="6"/>
        <v>46203</v>
      </c>
      <c r="K32" s="47">
        <v>46113</v>
      </c>
      <c r="L32" s="77">
        <v>46142</v>
      </c>
      <c r="M32" s="29">
        <f t="shared" si="7"/>
        <v>30</v>
      </c>
      <c r="N32" s="33">
        <f t="shared" si="8"/>
        <v>58.5</v>
      </c>
      <c r="O32" s="75">
        <v>0</v>
      </c>
      <c r="P32" s="75">
        <v>0</v>
      </c>
    </row>
    <row r="33" ht="27.75" customHeight="1" spans="1:16">
      <c r="A33" s="72">
        <v>35</v>
      </c>
      <c r="B33" s="72" t="s">
        <v>51</v>
      </c>
      <c r="C33" s="72" t="s">
        <v>54</v>
      </c>
      <c r="D33" s="73">
        <v>1</v>
      </c>
      <c r="E33" s="73" t="s">
        <v>53</v>
      </c>
      <c r="F33" s="73">
        <v>1.95</v>
      </c>
      <c r="G33" s="41" t="s">
        <v>599</v>
      </c>
      <c r="H33" s="77">
        <v>46113</v>
      </c>
      <c r="I33" s="85"/>
      <c r="J33" s="84">
        <f t="shared" si="6"/>
        <v>46203</v>
      </c>
      <c r="K33" s="47">
        <v>46113</v>
      </c>
      <c r="L33" s="77">
        <v>46142</v>
      </c>
      <c r="M33" s="29">
        <f t="shared" si="7"/>
        <v>30</v>
      </c>
      <c r="N33" s="33">
        <f t="shared" si="8"/>
        <v>58.5</v>
      </c>
      <c r="O33" s="75">
        <v>0</v>
      </c>
      <c r="P33" s="75">
        <v>0</v>
      </c>
    </row>
    <row r="34" ht="27.75" customHeight="1" spans="1:16">
      <c r="A34" s="72">
        <v>35</v>
      </c>
      <c r="B34" s="72" t="s">
        <v>51</v>
      </c>
      <c r="C34" s="72" t="s">
        <v>54</v>
      </c>
      <c r="D34" s="73">
        <v>1</v>
      </c>
      <c r="E34" s="73" t="s">
        <v>53</v>
      </c>
      <c r="F34" s="73">
        <v>1.95</v>
      </c>
      <c r="G34" s="41" t="s">
        <v>598</v>
      </c>
      <c r="H34" s="77">
        <v>46113</v>
      </c>
      <c r="I34" s="85"/>
      <c r="J34" s="84">
        <f t="shared" si="6"/>
        <v>46203</v>
      </c>
      <c r="K34" s="47">
        <v>46113</v>
      </c>
      <c r="L34" s="77">
        <v>46142</v>
      </c>
      <c r="M34" s="29">
        <f t="shared" si="7"/>
        <v>30</v>
      </c>
      <c r="N34" s="33">
        <f t="shared" si="8"/>
        <v>58.5</v>
      </c>
      <c r="O34" s="75">
        <v>0</v>
      </c>
      <c r="P34" s="75">
        <v>0</v>
      </c>
    </row>
    <row r="35" s="58" customFormat="1" ht="39" customHeight="1" spans="1:16">
      <c r="A35" s="29" t="s">
        <v>126</v>
      </c>
      <c r="B35" s="29"/>
      <c r="C35" s="29"/>
      <c r="D35" s="29">
        <f>SUM(D26:D34)</f>
        <v>9</v>
      </c>
      <c r="E35" s="29" t="s">
        <v>127</v>
      </c>
      <c r="F35" s="29"/>
      <c r="G35" s="29"/>
      <c r="H35" s="29"/>
      <c r="I35" s="29"/>
      <c r="J35" s="29"/>
      <c r="K35" s="29"/>
      <c r="L35" s="29"/>
      <c r="M35" s="29"/>
      <c r="N35" s="33">
        <f>SUM(N26:N34)</f>
        <v>526.5</v>
      </c>
      <c r="O35" s="34"/>
      <c r="P35" s="33">
        <f>SUM(P26:P34)</f>
        <v>0</v>
      </c>
    </row>
    <row r="38" s="59" customFormat="1" ht="34" customHeight="1" spans="1:16">
      <c r="A38" s="86" t="s">
        <v>604</v>
      </c>
      <c r="B38" s="86"/>
      <c r="C38" s="86"/>
      <c r="D38" s="86"/>
      <c r="E38" s="86"/>
      <c r="F38" s="86"/>
      <c r="G38" s="86"/>
      <c r="H38" s="86"/>
      <c r="I38" s="86"/>
      <c r="J38" s="86"/>
      <c r="K38" s="86"/>
      <c r="L38" s="86"/>
      <c r="M38" s="86"/>
      <c r="N38" s="86"/>
    </row>
    <row r="39" s="59" customFormat="1" ht="58" customHeight="1" spans="1:16">
      <c r="A39" s="26" t="s">
        <v>16</v>
      </c>
      <c r="B39" s="26" t="s">
        <v>17</v>
      </c>
      <c r="C39" s="26" t="s">
        <v>18</v>
      </c>
      <c r="D39" s="26" t="s">
        <v>65</v>
      </c>
      <c r="E39" s="26" t="s">
        <v>46</v>
      </c>
      <c r="F39" s="26" t="s">
        <v>66</v>
      </c>
      <c r="G39" s="26" t="s">
        <v>67</v>
      </c>
      <c r="H39" s="13" t="s">
        <v>43</v>
      </c>
      <c r="I39" s="13" t="s">
        <v>68</v>
      </c>
      <c r="J39" s="25" t="s">
        <v>69</v>
      </c>
      <c r="K39" s="13" t="s">
        <v>328</v>
      </c>
      <c r="L39" s="62" t="s">
        <v>71</v>
      </c>
      <c r="M39" s="71" t="s">
        <v>72</v>
      </c>
      <c r="N39" s="71" t="s">
        <v>73</v>
      </c>
      <c r="O39" s="25" t="s">
        <v>74</v>
      </c>
      <c r="P39" s="13" t="s">
        <v>75</v>
      </c>
    </row>
    <row r="40" s="59" customFormat="1" ht="49" customHeight="1" spans="1:16">
      <c r="A40" s="87">
        <v>5</v>
      </c>
      <c r="B40" s="87" t="s">
        <v>25</v>
      </c>
      <c r="C40" s="87" t="s">
        <v>29</v>
      </c>
      <c r="D40" s="87">
        <v>2</v>
      </c>
      <c r="E40" s="87" t="s">
        <v>53</v>
      </c>
      <c r="F40" s="88">
        <v>166.3</v>
      </c>
      <c r="G40" s="87"/>
      <c r="H40" s="89">
        <v>45966</v>
      </c>
      <c r="I40" s="89"/>
      <c r="J40" s="89">
        <f t="shared" ref="J40:J43" si="9">H40+90</f>
        <v>46056</v>
      </c>
      <c r="K40" s="89">
        <v>46113</v>
      </c>
      <c r="L40" s="89">
        <v>46142</v>
      </c>
      <c r="M40" s="90">
        <f t="shared" ref="M40:M43" si="10">L40-K40+1</f>
        <v>30</v>
      </c>
      <c r="N40" s="91">
        <f t="shared" ref="N40:N43" si="11">M40*F40*D40</f>
        <v>9978</v>
      </c>
      <c r="O40" s="90">
        <f t="shared" ref="O40:O43" si="12">L40-K40+1</f>
        <v>30</v>
      </c>
      <c r="P40" s="91">
        <f t="shared" ref="P40:P43" si="13">D40*F40*O40</f>
        <v>9978</v>
      </c>
    </row>
    <row r="41" s="60" customFormat="1" ht="49" customHeight="1" spans="1:16">
      <c r="A41" s="87">
        <v>14</v>
      </c>
      <c r="B41" s="87" t="s">
        <v>25</v>
      </c>
      <c r="C41" s="87" t="s">
        <v>37</v>
      </c>
      <c r="D41" s="87">
        <v>3</v>
      </c>
      <c r="E41" s="87" t="s">
        <v>53</v>
      </c>
      <c r="F41" s="88">
        <f>ROUND(259308/365,2)</f>
        <v>710.43</v>
      </c>
      <c r="G41" s="92"/>
      <c r="H41" s="89">
        <v>45966</v>
      </c>
      <c r="I41" s="89"/>
      <c r="J41" s="89">
        <f t="shared" si="9"/>
        <v>46056</v>
      </c>
      <c r="K41" s="89">
        <v>46113</v>
      </c>
      <c r="L41" s="89">
        <v>46142</v>
      </c>
      <c r="M41" s="90">
        <f t="shared" si="10"/>
        <v>30</v>
      </c>
      <c r="N41" s="91">
        <f t="shared" si="11"/>
        <v>63938.7</v>
      </c>
      <c r="O41" s="90">
        <f t="shared" si="12"/>
        <v>30</v>
      </c>
      <c r="P41" s="91">
        <f t="shared" si="13"/>
        <v>63938.7</v>
      </c>
    </row>
    <row r="42" s="60" customFormat="1" ht="49" customHeight="1" spans="1:16">
      <c r="A42" s="87">
        <v>15</v>
      </c>
      <c r="B42" s="87" t="s">
        <v>25</v>
      </c>
      <c r="C42" s="87" t="s">
        <v>38</v>
      </c>
      <c r="D42" s="87">
        <v>3</v>
      </c>
      <c r="E42" s="87" t="s">
        <v>53</v>
      </c>
      <c r="F42" s="88">
        <f>ROUND(25930.8/365,2)</f>
        <v>71.04</v>
      </c>
      <c r="G42" s="92"/>
      <c r="H42" s="89">
        <v>45966</v>
      </c>
      <c r="I42" s="89"/>
      <c r="J42" s="89">
        <f t="shared" si="9"/>
        <v>46056</v>
      </c>
      <c r="K42" s="89">
        <v>46113</v>
      </c>
      <c r="L42" s="89">
        <v>46142</v>
      </c>
      <c r="M42" s="90">
        <f t="shared" si="10"/>
        <v>30</v>
      </c>
      <c r="N42" s="91">
        <f t="shared" si="11"/>
        <v>6393.6</v>
      </c>
      <c r="O42" s="90">
        <f t="shared" si="12"/>
        <v>30</v>
      </c>
      <c r="P42" s="91">
        <f t="shared" si="13"/>
        <v>6393.6</v>
      </c>
    </row>
    <row r="43" s="60" customFormat="1" ht="49" customHeight="1" spans="1:16">
      <c r="A43" s="87">
        <v>13</v>
      </c>
      <c r="B43" s="87" t="s">
        <v>25</v>
      </c>
      <c r="C43" s="87" t="s">
        <v>605</v>
      </c>
      <c r="D43" s="87">
        <v>1</v>
      </c>
      <c r="E43" s="93" t="s">
        <v>53</v>
      </c>
      <c r="F43" s="94">
        <v>85.67</v>
      </c>
      <c r="G43" s="95"/>
      <c r="H43" s="96">
        <v>45966</v>
      </c>
      <c r="I43" s="96"/>
      <c r="J43" s="96">
        <f t="shared" si="9"/>
        <v>46056</v>
      </c>
      <c r="K43" s="96">
        <v>46113</v>
      </c>
      <c r="L43" s="89">
        <v>46142</v>
      </c>
      <c r="M43" s="90">
        <f t="shared" si="10"/>
        <v>30</v>
      </c>
      <c r="N43" s="91">
        <f t="shared" si="11"/>
        <v>2570.1</v>
      </c>
      <c r="O43" s="90">
        <f t="shared" si="12"/>
        <v>30</v>
      </c>
      <c r="P43" s="91">
        <f t="shared" si="13"/>
        <v>2570.1</v>
      </c>
    </row>
    <row r="44" s="58" customFormat="1" ht="39" customHeight="1" spans="1:16">
      <c r="A44" s="29" t="s">
        <v>126</v>
      </c>
      <c r="B44" s="29"/>
      <c r="C44" s="29"/>
      <c r="D44" s="29">
        <f>SUM(D40:D43)</f>
        <v>9</v>
      </c>
      <c r="E44" s="29" t="s">
        <v>127</v>
      </c>
      <c r="F44" s="29"/>
      <c r="G44" s="29"/>
      <c r="H44" s="29"/>
      <c r="I44" s="29"/>
      <c r="J44" s="29"/>
      <c r="K44" s="29"/>
      <c r="L44" s="29"/>
      <c r="M44" s="29"/>
      <c r="N44" s="33">
        <f>SUM(N40:N43)</f>
        <v>82880.4</v>
      </c>
      <c r="O44" s="34"/>
      <c r="P44" s="33">
        <f>SUM(P40:P43)</f>
        <v>82880.4</v>
      </c>
    </row>
    <row r="47" customHeight="1" spans="1:16">
      <c r="A47" s="48" t="s">
        <v>16</v>
      </c>
      <c r="B47" s="48" t="s">
        <v>17</v>
      </c>
      <c r="C47" s="48" t="s">
        <v>18</v>
      </c>
      <c r="D47" s="48" t="s">
        <v>65</v>
      </c>
      <c r="E47" s="49" t="s">
        <v>46</v>
      </c>
      <c r="F47" s="25" t="s">
        <v>75</v>
      </c>
      <c r="G47" s="25"/>
      <c r="H47" s="25"/>
      <c r="I47" s="25"/>
      <c r="J47" s="25"/>
      <c r="K47" s="25"/>
      <c r="L47" s="25"/>
      <c r="M47" s="25"/>
      <c r="N47" s="25"/>
      <c r="O47" s="25"/>
      <c r="P47" s="25"/>
    </row>
    <row r="48" customHeight="1" spans="1:16">
      <c r="A48" s="14">
        <v>50</v>
      </c>
      <c r="B48" s="14" t="s">
        <v>30</v>
      </c>
      <c r="C48" s="14" t="s">
        <v>31</v>
      </c>
      <c r="D48" s="14">
        <v>1</v>
      </c>
      <c r="E48" s="14" t="s">
        <v>53</v>
      </c>
      <c r="F48" s="50">
        <f>P4</f>
        <v>296.01</v>
      </c>
      <c r="G48" s="51"/>
      <c r="H48" s="51"/>
      <c r="I48" s="51"/>
      <c r="J48" s="51"/>
      <c r="K48" s="51"/>
      <c r="L48" s="51"/>
      <c r="M48" s="51"/>
      <c r="N48" s="51"/>
      <c r="O48" s="51"/>
      <c r="P48" s="51"/>
    </row>
    <row r="49" customHeight="1" spans="1:16">
      <c r="A49" s="27">
        <v>26</v>
      </c>
      <c r="B49" s="27" t="s">
        <v>21</v>
      </c>
      <c r="C49" s="14" t="s">
        <v>22</v>
      </c>
      <c r="D49" s="32">
        <v>14</v>
      </c>
      <c r="E49" s="52" t="s">
        <v>53</v>
      </c>
      <c r="F49" s="32">
        <f>SUM(P8:P21)</f>
        <v>1493.1</v>
      </c>
      <c r="G49" s="32"/>
      <c r="H49" s="32"/>
      <c r="I49" s="32"/>
      <c r="J49" s="32"/>
      <c r="K49" s="32"/>
      <c r="L49" s="32"/>
      <c r="M49" s="32"/>
      <c r="N49" s="32"/>
      <c r="O49" s="32"/>
      <c r="P49" s="32"/>
    </row>
    <row r="50" customHeight="1" spans="1:16">
      <c r="A50" s="27">
        <v>35</v>
      </c>
      <c r="B50" s="27" t="s">
        <v>51</v>
      </c>
      <c r="C50" s="27" t="s">
        <v>54</v>
      </c>
      <c r="D50" s="29">
        <v>9</v>
      </c>
      <c r="E50" s="29" t="s">
        <v>53</v>
      </c>
      <c r="F50" s="53">
        <f>SUM(P26:P34)</f>
        <v>0</v>
      </c>
      <c r="G50" s="54"/>
      <c r="H50" s="54"/>
      <c r="I50" s="54"/>
      <c r="J50" s="54"/>
      <c r="K50" s="54"/>
      <c r="L50" s="54"/>
      <c r="M50" s="54"/>
      <c r="N50" s="54"/>
      <c r="O50" s="54"/>
      <c r="P50" s="54"/>
    </row>
    <row r="51" customHeight="1" spans="1:16">
      <c r="A51" s="32">
        <v>5</v>
      </c>
      <c r="B51" s="32" t="s">
        <v>25</v>
      </c>
      <c r="C51" s="32" t="s">
        <v>29</v>
      </c>
      <c r="D51" s="32">
        <v>2</v>
      </c>
      <c r="E51" s="29" t="s">
        <v>53</v>
      </c>
      <c r="F51" s="53">
        <f>P40</f>
        <v>9978</v>
      </c>
      <c r="G51" s="54"/>
      <c r="H51" s="54"/>
      <c r="I51" s="54"/>
      <c r="J51" s="54"/>
      <c r="K51" s="54"/>
      <c r="L51" s="54"/>
      <c r="M51" s="54"/>
      <c r="N51" s="54"/>
      <c r="O51" s="54"/>
      <c r="P51" s="54"/>
    </row>
    <row r="52" customHeight="1" spans="1:16">
      <c r="A52" s="32">
        <v>14</v>
      </c>
      <c r="B52" s="32" t="s">
        <v>25</v>
      </c>
      <c r="C52" s="32" t="s">
        <v>37</v>
      </c>
      <c r="D52" s="32">
        <v>3</v>
      </c>
      <c r="E52" s="29" t="s">
        <v>53</v>
      </c>
      <c r="F52" s="53">
        <f>P41</f>
        <v>63938.7</v>
      </c>
      <c r="G52" s="54"/>
      <c r="H52" s="54"/>
      <c r="I52" s="54"/>
      <c r="J52" s="54"/>
      <c r="K52" s="54"/>
      <c r="L52" s="54"/>
      <c r="M52" s="54"/>
      <c r="N52" s="54"/>
      <c r="O52" s="54"/>
      <c r="P52" s="54"/>
    </row>
    <row r="53" customHeight="1" spans="1:16">
      <c r="A53" s="32">
        <v>15</v>
      </c>
      <c r="B53" s="32" t="s">
        <v>25</v>
      </c>
      <c r="C53" s="32" t="s">
        <v>38</v>
      </c>
      <c r="D53" s="32">
        <v>3</v>
      </c>
      <c r="E53" s="29" t="s">
        <v>53</v>
      </c>
      <c r="F53" s="53">
        <f>P42</f>
        <v>6393.6</v>
      </c>
      <c r="G53" s="54"/>
      <c r="H53" s="54"/>
      <c r="I53" s="54"/>
      <c r="J53" s="54"/>
      <c r="K53" s="54"/>
      <c r="L53" s="54"/>
      <c r="M53" s="54"/>
      <c r="N53" s="54"/>
      <c r="O53" s="54"/>
      <c r="P53" s="54"/>
    </row>
    <row r="54" customHeight="1" spans="1:16">
      <c r="A54" s="32">
        <v>13</v>
      </c>
      <c r="B54" s="32" t="s">
        <v>25</v>
      </c>
      <c r="C54" s="32" t="s">
        <v>605</v>
      </c>
      <c r="D54" s="32">
        <v>1</v>
      </c>
      <c r="E54" s="29" t="s">
        <v>53</v>
      </c>
      <c r="F54" s="53">
        <f>P43</f>
        <v>2570.1</v>
      </c>
      <c r="G54" s="54"/>
      <c r="H54" s="54"/>
      <c r="I54" s="54"/>
      <c r="J54" s="54"/>
      <c r="K54" s="54"/>
      <c r="L54" s="54"/>
      <c r="M54" s="54"/>
      <c r="N54" s="54"/>
      <c r="O54" s="54"/>
      <c r="P54" s="54"/>
    </row>
    <row r="55" customHeight="1" spans="1:16">
      <c r="A55" s="32" t="s">
        <v>146</v>
      </c>
      <c r="B55" s="32"/>
      <c r="C55" s="32"/>
      <c r="D55" s="32"/>
      <c r="E55" s="55"/>
      <c r="F55" s="56">
        <f>SUM(F48:F54)</f>
        <v>84669.51</v>
      </c>
      <c r="G55" s="56"/>
      <c r="H55" s="56"/>
      <c r="I55" s="56"/>
      <c r="J55" s="56"/>
      <c r="K55" s="56"/>
      <c r="L55" s="56"/>
      <c r="M55" s="56"/>
      <c r="N55" s="56"/>
      <c r="O55" s="56"/>
      <c r="P55" s="56"/>
    </row>
  </sheetData>
  <mergeCells count="24">
    <mergeCell ref="A1:N1"/>
    <mergeCell ref="A4:C4"/>
    <mergeCell ref="E4:M4"/>
    <mergeCell ref="A5:P5"/>
    <mergeCell ref="A6:N6"/>
    <mergeCell ref="A22:C22"/>
    <mergeCell ref="E22:M22"/>
    <mergeCell ref="A23:P23"/>
    <mergeCell ref="A24:O24"/>
    <mergeCell ref="A35:C35"/>
    <mergeCell ref="E35:M35"/>
    <mergeCell ref="A38:N38"/>
    <mergeCell ref="A44:C44"/>
    <mergeCell ref="E44:M44"/>
    <mergeCell ref="F47:P47"/>
    <mergeCell ref="F48:P48"/>
    <mergeCell ref="F49:P49"/>
    <mergeCell ref="F50:P50"/>
    <mergeCell ref="F51:P51"/>
    <mergeCell ref="F52:P52"/>
    <mergeCell ref="F53:P53"/>
    <mergeCell ref="F54:P54"/>
    <mergeCell ref="A55:E55"/>
    <mergeCell ref="F55:P55"/>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M50"/>
  <sheetViews>
    <sheetView zoomScale="70" zoomScaleNormal="70" workbookViewId="0">
      <selection activeCell="F50" sqref="F50:P50"/>
    </sheetView>
  </sheetViews>
  <sheetFormatPr defaultColWidth="9.8359375" defaultRowHeight="15" customHeight="1"/>
  <cols>
    <col min="1" max="6" width="9.8359375" style="1" customWidth="1"/>
    <col min="7" max="7" width="16.640625" style="1"/>
    <col min="8" max="10" width="11.0546875" style="1"/>
    <col min="11" max="12" width="9.8359375" style="1" customWidth="1"/>
    <col min="13" max="16" width="15.78125" style="1" customWidth="1"/>
    <col min="17" max="39" width="9.8359375" style="1" customWidth="1"/>
    <col min="40" max="16384" width="9.8359375" style="22"/>
  </cols>
  <sheetData>
    <row r="1" s="21" customFormat="1" ht="39" customHeight="1" spans="1:16">
      <c r="A1" s="23" t="s">
        <v>606</v>
      </c>
      <c r="B1" s="24"/>
      <c r="C1" s="24"/>
      <c r="D1" s="24"/>
      <c r="E1" s="24"/>
      <c r="F1" s="24"/>
      <c r="G1" s="24"/>
      <c r="H1" s="24"/>
      <c r="I1" s="24"/>
      <c r="J1" s="24"/>
      <c r="K1" s="24"/>
      <c r="L1" s="24"/>
      <c r="M1" s="24"/>
      <c r="N1" s="24"/>
      <c r="O1" s="24"/>
      <c r="P1" s="24"/>
    </row>
    <row r="2" s="21" customFormat="1" ht="39" customHeight="1" spans="1:16">
      <c r="A2" s="25" t="s">
        <v>16</v>
      </c>
      <c r="B2" s="25" t="s">
        <v>17</v>
      </c>
      <c r="C2" s="25" t="s">
        <v>18</v>
      </c>
      <c r="D2" s="25" t="s">
        <v>65</v>
      </c>
      <c r="E2" s="25" t="s">
        <v>46</v>
      </c>
      <c r="F2" s="25" t="s">
        <v>66</v>
      </c>
      <c r="G2" s="25" t="s">
        <v>67</v>
      </c>
      <c r="H2" s="25" t="s">
        <v>43</v>
      </c>
      <c r="I2" s="25" t="s">
        <v>68</v>
      </c>
      <c r="J2" s="25" t="s">
        <v>69</v>
      </c>
      <c r="K2" s="25" t="s">
        <v>328</v>
      </c>
      <c r="L2" s="25" t="s">
        <v>71</v>
      </c>
      <c r="M2" s="26" t="s">
        <v>72</v>
      </c>
      <c r="N2" s="26" t="s">
        <v>73</v>
      </c>
      <c r="O2" s="25" t="s">
        <v>329</v>
      </c>
      <c r="P2" s="25" t="s">
        <v>75</v>
      </c>
    </row>
    <row r="3" s="21" customFormat="1" ht="39" customHeight="1" spans="1:16">
      <c r="A3" s="27">
        <v>50</v>
      </c>
      <c r="B3" s="27" t="s">
        <v>30</v>
      </c>
      <c r="C3" s="27" t="s">
        <v>31</v>
      </c>
      <c r="D3" s="27">
        <v>1</v>
      </c>
      <c r="E3" s="27" t="s">
        <v>53</v>
      </c>
      <c r="F3" s="28">
        <v>22.77</v>
      </c>
      <c r="G3" s="29"/>
      <c r="H3" s="30">
        <v>46059</v>
      </c>
      <c r="I3" s="31">
        <v>46126</v>
      </c>
      <c r="J3" s="30">
        <f>H3+90</f>
        <v>46149</v>
      </c>
      <c r="K3" s="30">
        <v>46113</v>
      </c>
      <c r="L3" s="30">
        <v>46142</v>
      </c>
      <c r="M3" s="32">
        <v>13</v>
      </c>
      <c r="N3" s="32">
        <f>M3*F3*D3</f>
        <v>296.01</v>
      </c>
      <c r="O3" s="29">
        <v>0</v>
      </c>
      <c r="P3" s="33">
        <f>D3*F3*O3</f>
        <v>0</v>
      </c>
    </row>
    <row r="4" s="21" customFormat="1" ht="27" customHeight="1" spans="1:16">
      <c r="A4" s="29" t="s">
        <v>126</v>
      </c>
      <c r="B4" s="29"/>
      <c r="C4" s="29"/>
      <c r="D4" s="29">
        <f>SUM(D3)</f>
        <v>1</v>
      </c>
      <c r="E4" s="29" t="s">
        <v>127</v>
      </c>
      <c r="F4" s="29"/>
      <c r="G4" s="29"/>
      <c r="H4" s="29"/>
      <c r="I4" s="29"/>
      <c r="J4" s="29"/>
      <c r="K4" s="29"/>
      <c r="L4" s="29"/>
      <c r="M4" s="29"/>
      <c r="N4" s="33">
        <f>SUM(N3)</f>
        <v>296.01</v>
      </c>
      <c r="O4" s="34"/>
      <c r="P4" s="33">
        <f>SUM(P3)</f>
        <v>0</v>
      </c>
    </row>
    <row r="7" s="21" customFormat="1" ht="39" customHeight="1" spans="1:16">
      <c r="A7" s="23" t="s">
        <v>607</v>
      </c>
      <c r="B7" s="24"/>
      <c r="C7" s="24"/>
      <c r="D7" s="24"/>
      <c r="E7" s="24"/>
      <c r="F7" s="24"/>
      <c r="G7" s="24"/>
      <c r="H7" s="24"/>
      <c r="I7" s="24"/>
      <c r="J7" s="24"/>
      <c r="K7" s="24"/>
      <c r="L7" s="24"/>
      <c r="M7" s="24"/>
      <c r="N7" s="24"/>
      <c r="O7" s="24"/>
      <c r="P7" s="24"/>
    </row>
    <row r="8" ht="63" customHeight="1" spans="1:16">
      <c r="A8" s="35" t="s">
        <v>16</v>
      </c>
      <c r="B8" s="35" t="s">
        <v>17</v>
      </c>
      <c r="C8" s="35" t="s">
        <v>18</v>
      </c>
      <c r="D8" s="35" t="s">
        <v>65</v>
      </c>
      <c r="E8" s="35" t="s">
        <v>46</v>
      </c>
      <c r="F8" s="35" t="s">
        <v>66</v>
      </c>
      <c r="G8" s="35" t="s">
        <v>322</v>
      </c>
      <c r="H8" s="35" t="s">
        <v>43</v>
      </c>
      <c r="I8" s="35" t="s">
        <v>68</v>
      </c>
      <c r="J8" s="35" t="s">
        <v>69</v>
      </c>
      <c r="K8" s="35" t="s">
        <v>328</v>
      </c>
      <c r="L8" s="35" t="s">
        <v>71</v>
      </c>
      <c r="M8" s="36" t="s">
        <v>72</v>
      </c>
      <c r="N8" s="36" t="s">
        <v>73</v>
      </c>
      <c r="O8" s="35" t="s">
        <v>329</v>
      </c>
      <c r="P8" s="35" t="s">
        <v>75</v>
      </c>
    </row>
    <row r="9" ht="30" customHeight="1" spans="1:16">
      <c r="A9" s="27">
        <v>30</v>
      </c>
      <c r="B9" s="27" t="s">
        <v>21</v>
      </c>
      <c r="C9" s="27" t="s">
        <v>32</v>
      </c>
      <c r="D9" s="27">
        <v>1</v>
      </c>
      <c r="E9" s="27" t="s">
        <v>53</v>
      </c>
      <c r="F9" s="28">
        <v>0</v>
      </c>
      <c r="G9" s="37" t="s">
        <v>608</v>
      </c>
      <c r="H9" s="30">
        <v>46051</v>
      </c>
      <c r="I9" s="30"/>
      <c r="J9" s="30">
        <f>H9+90</f>
        <v>46141</v>
      </c>
      <c r="K9" s="38">
        <f t="shared" ref="K9:K14" si="0">H9+90</f>
        <v>46141</v>
      </c>
      <c r="L9" s="39">
        <v>46142</v>
      </c>
      <c r="M9" s="32">
        <v>30</v>
      </c>
      <c r="N9" s="32">
        <f t="shared" ref="N9:N23" si="1">M9*F9*D9</f>
        <v>0</v>
      </c>
      <c r="O9" s="40">
        <f t="shared" ref="O9:O14" si="2">L9-K9+1</f>
        <v>2</v>
      </c>
      <c r="P9" s="33">
        <f t="shared" ref="P9:P23" si="3">O9*F9*D9</f>
        <v>0</v>
      </c>
    </row>
    <row r="10" ht="30" customHeight="1" spans="1:16">
      <c r="A10" s="27">
        <v>30</v>
      </c>
      <c r="B10" s="27" t="s">
        <v>21</v>
      </c>
      <c r="C10" s="27" t="s">
        <v>32</v>
      </c>
      <c r="D10" s="27">
        <v>1</v>
      </c>
      <c r="E10" s="27" t="s">
        <v>53</v>
      </c>
      <c r="F10" s="28">
        <v>0</v>
      </c>
      <c r="G10" s="37" t="s">
        <v>609</v>
      </c>
      <c r="H10" s="30">
        <v>46051</v>
      </c>
      <c r="I10" s="30"/>
      <c r="J10" s="30">
        <f t="shared" ref="J10:J23" si="4">H10+90</f>
        <v>46141</v>
      </c>
      <c r="K10" s="38">
        <f t="shared" si="0"/>
        <v>46141</v>
      </c>
      <c r="L10" s="39">
        <v>46142</v>
      </c>
      <c r="M10" s="32">
        <v>30</v>
      </c>
      <c r="N10" s="32">
        <f t="shared" si="1"/>
        <v>0</v>
      </c>
      <c r="O10" s="40">
        <f t="shared" si="2"/>
        <v>2</v>
      </c>
      <c r="P10" s="33">
        <f t="shared" si="3"/>
        <v>0</v>
      </c>
    </row>
    <row r="11" ht="30" customHeight="1" spans="1:16">
      <c r="A11" s="27">
        <v>30</v>
      </c>
      <c r="B11" s="27" t="s">
        <v>21</v>
      </c>
      <c r="C11" s="27" t="s">
        <v>32</v>
      </c>
      <c r="D11" s="27">
        <v>1</v>
      </c>
      <c r="E11" s="27" t="s">
        <v>53</v>
      </c>
      <c r="F11" s="28">
        <v>0</v>
      </c>
      <c r="G11" s="37" t="s">
        <v>610</v>
      </c>
      <c r="H11" s="30">
        <v>46051</v>
      </c>
      <c r="I11" s="30"/>
      <c r="J11" s="30">
        <f t="shared" si="4"/>
        <v>46141</v>
      </c>
      <c r="K11" s="38">
        <f t="shared" si="0"/>
        <v>46141</v>
      </c>
      <c r="L11" s="39">
        <v>46142</v>
      </c>
      <c r="M11" s="32">
        <v>30</v>
      </c>
      <c r="N11" s="32">
        <f t="shared" si="1"/>
        <v>0</v>
      </c>
      <c r="O11" s="40">
        <f t="shared" si="2"/>
        <v>2</v>
      </c>
      <c r="P11" s="33">
        <f t="shared" si="3"/>
        <v>0</v>
      </c>
    </row>
    <row r="12" ht="30" customHeight="1" spans="1:16">
      <c r="A12" s="27">
        <v>30</v>
      </c>
      <c r="B12" s="27" t="s">
        <v>21</v>
      </c>
      <c r="C12" s="27" t="s">
        <v>32</v>
      </c>
      <c r="D12" s="27">
        <v>1</v>
      </c>
      <c r="E12" s="27" t="s">
        <v>53</v>
      </c>
      <c r="F12" s="28">
        <v>0</v>
      </c>
      <c r="G12" s="37" t="s">
        <v>611</v>
      </c>
      <c r="H12" s="30">
        <v>46051</v>
      </c>
      <c r="I12" s="30"/>
      <c r="J12" s="30">
        <f t="shared" si="4"/>
        <v>46141</v>
      </c>
      <c r="K12" s="38">
        <f t="shared" si="0"/>
        <v>46141</v>
      </c>
      <c r="L12" s="39">
        <v>46142</v>
      </c>
      <c r="M12" s="32">
        <v>30</v>
      </c>
      <c r="N12" s="32">
        <f t="shared" si="1"/>
        <v>0</v>
      </c>
      <c r="O12" s="40">
        <f t="shared" si="2"/>
        <v>2</v>
      </c>
      <c r="P12" s="33">
        <f t="shared" si="3"/>
        <v>0</v>
      </c>
    </row>
    <row r="13" ht="30" customHeight="1" spans="1:16">
      <c r="A13" s="27">
        <v>30</v>
      </c>
      <c r="B13" s="27" t="s">
        <v>21</v>
      </c>
      <c r="C13" s="27" t="s">
        <v>32</v>
      </c>
      <c r="D13" s="27">
        <v>1</v>
      </c>
      <c r="E13" s="27" t="s">
        <v>53</v>
      </c>
      <c r="F13" s="28">
        <v>0</v>
      </c>
      <c r="G13" s="37" t="s">
        <v>612</v>
      </c>
      <c r="H13" s="30">
        <v>46051</v>
      </c>
      <c r="I13" s="30"/>
      <c r="J13" s="30">
        <f t="shared" si="4"/>
        <v>46141</v>
      </c>
      <c r="K13" s="38">
        <f t="shared" si="0"/>
        <v>46141</v>
      </c>
      <c r="L13" s="39">
        <v>46142</v>
      </c>
      <c r="M13" s="32">
        <v>30</v>
      </c>
      <c r="N13" s="32">
        <f t="shared" si="1"/>
        <v>0</v>
      </c>
      <c r="O13" s="40">
        <f t="shared" si="2"/>
        <v>2</v>
      </c>
      <c r="P13" s="33">
        <f t="shared" si="3"/>
        <v>0</v>
      </c>
    </row>
    <row r="14" ht="30" customHeight="1" spans="1:16">
      <c r="A14" s="27">
        <v>30</v>
      </c>
      <c r="B14" s="27" t="s">
        <v>21</v>
      </c>
      <c r="C14" s="27" t="s">
        <v>32</v>
      </c>
      <c r="D14" s="27">
        <v>1</v>
      </c>
      <c r="E14" s="27" t="s">
        <v>53</v>
      </c>
      <c r="F14" s="28">
        <v>0</v>
      </c>
      <c r="G14" s="37" t="s">
        <v>613</v>
      </c>
      <c r="H14" s="30">
        <v>46051</v>
      </c>
      <c r="I14" s="30"/>
      <c r="J14" s="30">
        <f t="shared" si="4"/>
        <v>46141</v>
      </c>
      <c r="K14" s="38">
        <f t="shared" si="0"/>
        <v>46141</v>
      </c>
      <c r="L14" s="39">
        <v>46142</v>
      </c>
      <c r="M14" s="32">
        <v>30</v>
      </c>
      <c r="N14" s="32">
        <f t="shared" si="1"/>
        <v>0</v>
      </c>
      <c r="O14" s="40">
        <f t="shared" si="2"/>
        <v>2</v>
      </c>
      <c r="P14" s="33">
        <f t="shared" si="3"/>
        <v>0</v>
      </c>
    </row>
    <row r="15" ht="27.75" customHeight="1" spans="1:16">
      <c r="A15" s="27">
        <v>30</v>
      </c>
      <c r="B15" s="27" t="s">
        <v>21</v>
      </c>
      <c r="C15" s="27" t="s">
        <v>32</v>
      </c>
      <c r="D15" s="27">
        <v>1</v>
      </c>
      <c r="E15" s="27" t="s">
        <v>53</v>
      </c>
      <c r="F15" s="28">
        <v>0</v>
      </c>
      <c r="G15" s="41" t="s">
        <v>614</v>
      </c>
      <c r="H15" s="42">
        <v>46127</v>
      </c>
      <c r="I15" s="42"/>
      <c r="J15" s="30">
        <f t="shared" si="4"/>
        <v>46217</v>
      </c>
      <c r="K15" s="42">
        <v>46113</v>
      </c>
      <c r="L15" s="39">
        <v>46142</v>
      </c>
      <c r="M15" s="32">
        <v>30</v>
      </c>
      <c r="N15" s="32">
        <f t="shared" si="1"/>
        <v>0</v>
      </c>
      <c r="O15" s="40">
        <v>0</v>
      </c>
      <c r="P15" s="33">
        <f t="shared" si="3"/>
        <v>0</v>
      </c>
    </row>
    <row r="16" ht="27.75" customHeight="1" spans="1:16">
      <c r="A16" s="27">
        <v>30</v>
      </c>
      <c r="B16" s="27" t="s">
        <v>21</v>
      </c>
      <c r="C16" s="27" t="s">
        <v>32</v>
      </c>
      <c r="D16" s="27">
        <v>1</v>
      </c>
      <c r="E16" s="27" t="s">
        <v>53</v>
      </c>
      <c r="F16" s="28">
        <v>0</v>
      </c>
      <c r="G16" s="41" t="s">
        <v>615</v>
      </c>
      <c r="H16" s="42">
        <v>46127</v>
      </c>
      <c r="I16" s="42"/>
      <c r="J16" s="30">
        <f t="shared" si="4"/>
        <v>46217</v>
      </c>
      <c r="K16" s="42">
        <v>46113</v>
      </c>
      <c r="L16" s="39">
        <v>46142</v>
      </c>
      <c r="M16" s="32">
        <v>30</v>
      </c>
      <c r="N16" s="32">
        <f t="shared" si="1"/>
        <v>0</v>
      </c>
      <c r="O16" s="40">
        <v>0</v>
      </c>
      <c r="P16" s="33">
        <f t="shared" si="3"/>
        <v>0</v>
      </c>
    </row>
    <row r="17" ht="27.75" customHeight="1" spans="1:39">
      <c r="A17" s="27">
        <v>30</v>
      </c>
      <c r="B17" s="27" t="s">
        <v>21</v>
      </c>
      <c r="C17" s="27" t="s">
        <v>32</v>
      </c>
      <c r="D17" s="27">
        <v>1</v>
      </c>
      <c r="E17" s="27" t="s">
        <v>53</v>
      </c>
      <c r="F17" s="28">
        <v>0</v>
      </c>
      <c r="G17" s="41" t="s">
        <v>616</v>
      </c>
      <c r="H17" s="42">
        <v>46127</v>
      </c>
      <c r="I17" s="42"/>
      <c r="J17" s="30">
        <f t="shared" si="4"/>
        <v>46217</v>
      </c>
      <c r="K17" s="42">
        <v>46113</v>
      </c>
      <c r="L17" s="39">
        <v>46142</v>
      </c>
      <c r="M17" s="32">
        <v>30</v>
      </c>
      <c r="N17" s="32">
        <f t="shared" si="1"/>
        <v>0</v>
      </c>
      <c r="O17" s="40">
        <v>0</v>
      </c>
      <c r="P17" s="33">
        <f t="shared" si="3"/>
        <v>0</v>
      </c>
    </row>
    <row r="18" ht="27.75" customHeight="1" spans="1:39">
      <c r="A18" s="27">
        <v>30</v>
      </c>
      <c r="B18" s="27" t="s">
        <v>21</v>
      </c>
      <c r="C18" s="27" t="s">
        <v>32</v>
      </c>
      <c r="D18" s="27">
        <v>1</v>
      </c>
      <c r="E18" s="27" t="s">
        <v>53</v>
      </c>
      <c r="F18" s="28">
        <v>0</v>
      </c>
      <c r="G18" s="41" t="s">
        <v>617</v>
      </c>
      <c r="H18" s="42">
        <v>46127</v>
      </c>
      <c r="I18" s="42"/>
      <c r="J18" s="30">
        <f t="shared" si="4"/>
        <v>46217</v>
      </c>
      <c r="K18" s="42">
        <v>46113</v>
      </c>
      <c r="L18" s="39">
        <v>46142</v>
      </c>
      <c r="M18" s="32">
        <v>30</v>
      </c>
      <c r="N18" s="32">
        <f t="shared" si="1"/>
        <v>0</v>
      </c>
      <c r="O18" s="40">
        <v>0</v>
      </c>
      <c r="P18" s="33">
        <f t="shared" si="3"/>
        <v>0</v>
      </c>
    </row>
    <row r="19" ht="27.75" customHeight="1" spans="1:39">
      <c r="A19" s="27">
        <v>30</v>
      </c>
      <c r="B19" s="27" t="s">
        <v>21</v>
      </c>
      <c r="C19" s="27" t="s">
        <v>32</v>
      </c>
      <c r="D19" s="27">
        <v>1</v>
      </c>
      <c r="E19" s="27" t="s">
        <v>53</v>
      </c>
      <c r="F19" s="28">
        <v>0</v>
      </c>
      <c r="G19" s="41" t="s">
        <v>618</v>
      </c>
      <c r="H19" s="42">
        <v>46127</v>
      </c>
      <c r="I19" s="42"/>
      <c r="J19" s="30">
        <f t="shared" si="4"/>
        <v>46217</v>
      </c>
      <c r="K19" s="42">
        <v>46113</v>
      </c>
      <c r="L19" s="39">
        <v>46142</v>
      </c>
      <c r="M19" s="32">
        <v>30</v>
      </c>
      <c r="N19" s="32">
        <f t="shared" si="1"/>
        <v>0</v>
      </c>
      <c r="O19" s="40">
        <v>0</v>
      </c>
      <c r="P19" s="33">
        <f t="shared" si="3"/>
        <v>0</v>
      </c>
    </row>
    <row r="20" ht="27.75" customHeight="1" spans="1:39">
      <c r="A20" s="27">
        <v>30</v>
      </c>
      <c r="B20" s="27" t="s">
        <v>21</v>
      </c>
      <c r="C20" s="27" t="s">
        <v>32</v>
      </c>
      <c r="D20" s="27">
        <v>1</v>
      </c>
      <c r="E20" s="27" t="s">
        <v>53</v>
      </c>
      <c r="F20" s="28">
        <v>0</v>
      </c>
      <c r="G20" s="41" t="s">
        <v>619</v>
      </c>
      <c r="H20" s="42">
        <v>46127</v>
      </c>
      <c r="I20" s="42"/>
      <c r="J20" s="30">
        <f t="shared" si="4"/>
        <v>46217</v>
      </c>
      <c r="K20" s="42">
        <v>46113</v>
      </c>
      <c r="L20" s="39">
        <v>46142</v>
      </c>
      <c r="M20" s="32">
        <v>30</v>
      </c>
      <c r="N20" s="32">
        <f t="shared" si="1"/>
        <v>0</v>
      </c>
      <c r="O20" s="40">
        <v>0</v>
      </c>
      <c r="P20" s="33">
        <f t="shared" si="3"/>
        <v>0</v>
      </c>
    </row>
    <row r="21" ht="27.75" customHeight="1" spans="1:39">
      <c r="A21" s="27">
        <v>30</v>
      </c>
      <c r="B21" s="27" t="s">
        <v>21</v>
      </c>
      <c r="C21" s="27" t="s">
        <v>32</v>
      </c>
      <c r="D21" s="27">
        <v>1</v>
      </c>
      <c r="E21" s="27" t="s">
        <v>53</v>
      </c>
      <c r="F21" s="28">
        <v>0</v>
      </c>
      <c r="G21" s="41" t="s">
        <v>620</v>
      </c>
      <c r="H21" s="42">
        <v>46127</v>
      </c>
      <c r="I21" s="42"/>
      <c r="J21" s="30">
        <f t="shared" si="4"/>
        <v>46217</v>
      </c>
      <c r="K21" s="42">
        <v>46113</v>
      </c>
      <c r="L21" s="39">
        <v>46142</v>
      </c>
      <c r="M21" s="32">
        <v>30</v>
      </c>
      <c r="N21" s="32">
        <f t="shared" si="1"/>
        <v>0</v>
      </c>
      <c r="O21" s="40">
        <v>0</v>
      </c>
      <c r="P21" s="33">
        <f t="shared" si="3"/>
        <v>0</v>
      </c>
    </row>
    <row r="22" ht="27.75" customHeight="1" spans="1:39">
      <c r="A22" s="27">
        <v>30</v>
      </c>
      <c r="B22" s="27" t="s">
        <v>21</v>
      </c>
      <c r="C22" s="27" t="s">
        <v>32</v>
      </c>
      <c r="D22" s="27">
        <v>1</v>
      </c>
      <c r="E22" s="27" t="s">
        <v>53</v>
      </c>
      <c r="F22" s="28">
        <v>0</v>
      </c>
      <c r="G22" s="41" t="s">
        <v>621</v>
      </c>
      <c r="H22" s="42">
        <v>46127</v>
      </c>
      <c r="I22" s="42"/>
      <c r="J22" s="30">
        <f t="shared" si="4"/>
        <v>46217</v>
      </c>
      <c r="K22" s="42">
        <v>46113</v>
      </c>
      <c r="L22" s="39">
        <v>46142</v>
      </c>
      <c r="M22" s="32">
        <v>30</v>
      </c>
      <c r="N22" s="32">
        <f t="shared" si="1"/>
        <v>0</v>
      </c>
      <c r="O22" s="40">
        <v>0</v>
      </c>
      <c r="P22" s="33">
        <f t="shared" si="3"/>
        <v>0</v>
      </c>
    </row>
    <row r="23" ht="27.75" customHeight="1" spans="1:39">
      <c r="A23" s="27">
        <v>30</v>
      </c>
      <c r="B23" s="27" t="s">
        <v>21</v>
      </c>
      <c r="C23" s="27" t="s">
        <v>32</v>
      </c>
      <c r="D23" s="27">
        <v>1</v>
      </c>
      <c r="E23" s="27" t="s">
        <v>53</v>
      </c>
      <c r="F23" s="28">
        <v>0</v>
      </c>
      <c r="G23" s="41" t="s">
        <v>622</v>
      </c>
      <c r="H23" s="42">
        <v>46127</v>
      </c>
      <c r="I23" s="42"/>
      <c r="J23" s="30">
        <f t="shared" si="4"/>
        <v>46217</v>
      </c>
      <c r="K23" s="42">
        <v>46113</v>
      </c>
      <c r="L23" s="39">
        <v>46142</v>
      </c>
      <c r="M23" s="32">
        <v>30</v>
      </c>
      <c r="N23" s="32">
        <f t="shared" si="1"/>
        <v>0</v>
      </c>
      <c r="O23" s="40">
        <v>0</v>
      </c>
      <c r="P23" s="33">
        <f t="shared" si="3"/>
        <v>0</v>
      </c>
    </row>
    <row r="24" ht="27" customHeight="1" spans="1:39">
      <c r="A24" s="29" t="s">
        <v>126</v>
      </c>
      <c r="B24" s="29"/>
      <c r="C24" s="29"/>
      <c r="D24" s="29">
        <f>SUM(D9:D23)</f>
        <v>15</v>
      </c>
      <c r="E24" s="29" t="s">
        <v>127</v>
      </c>
      <c r="F24" s="29"/>
      <c r="G24" s="29"/>
      <c r="H24" s="29"/>
      <c r="I24" s="29"/>
      <c r="J24" s="29"/>
      <c r="K24" s="29"/>
      <c r="L24" s="29"/>
      <c r="M24" s="29"/>
      <c r="N24" s="33">
        <f>SUM(N9:N23)</f>
        <v>0</v>
      </c>
      <c r="O24" s="34"/>
      <c r="P24" s="33">
        <f>SUM(P9:P23)</f>
        <v>0</v>
      </c>
    </row>
    <row r="27" ht="41" customHeight="1" spans="1:39">
      <c r="A27" s="43" t="s">
        <v>575</v>
      </c>
      <c r="B27" s="43"/>
      <c r="C27" s="43"/>
      <c r="D27" s="43"/>
      <c r="E27" s="43"/>
      <c r="F27" s="43"/>
      <c r="G27" s="43"/>
      <c r="H27" s="43"/>
      <c r="I27" s="43"/>
      <c r="J27" s="43"/>
      <c r="K27" s="43"/>
      <c r="L27" s="43"/>
      <c r="M27" s="43"/>
      <c r="N27" s="43"/>
      <c r="O27" s="43"/>
      <c r="P27" s="43"/>
      <c r="Q27" s="44"/>
      <c r="R27" s="44"/>
      <c r="S27" s="44"/>
      <c r="T27" s="44"/>
      <c r="U27" s="44"/>
      <c r="V27" s="44"/>
      <c r="W27" s="21"/>
      <c r="X27" s="21"/>
      <c r="Y27" s="21"/>
      <c r="Z27" s="21"/>
      <c r="AA27" s="21"/>
      <c r="AB27" s="21"/>
      <c r="AC27" s="21"/>
      <c r="AD27" s="21"/>
      <c r="AE27" s="21"/>
      <c r="AF27" s="21"/>
      <c r="AG27" s="21"/>
      <c r="AH27" s="21"/>
      <c r="AI27" s="21"/>
      <c r="AJ27" s="21"/>
      <c r="AK27" s="21"/>
      <c r="AL27" s="21"/>
      <c r="AM27" s="21"/>
    </row>
    <row r="28" ht="41.25" customHeight="1" spans="1:39">
      <c r="A28" s="25" t="s">
        <v>16</v>
      </c>
      <c r="B28" s="25" t="s">
        <v>17</v>
      </c>
      <c r="C28" s="25" t="s">
        <v>18</v>
      </c>
      <c r="D28" s="25" t="s">
        <v>65</v>
      </c>
      <c r="E28" s="25" t="s">
        <v>46</v>
      </c>
      <c r="F28" s="25" t="s">
        <v>66</v>
      </c>
      <c r="G28" s="25" t="s">
        <v>603</v>
      </c>
      <c r="H28" s="25" t="s">
        <v>43</v>
      </c>
      <c r="I28" s="25" t="s">
        <v>68</v>
      </c>
      <c r="J28" s="25" t="s">
        <v>69</v>
      </c>
      <c r="K28" s="25" t="s">
        <v>328</v>
      </c>
      <c r="L28" s="25" t="s">
        <v>71</v>
      </c>
      <c r="M28" s="26" t="s">
        <v>72</v>
      </c>
      <c r="N28" s="26" t="s">
        <v>73</v>
      </c>
      <c r="O28" s="25" t="s">
        <v>74</v>
      </c>
      <c r="P28" s="25" t="s">
        <v>75</v>
      </c>
      <c r="Q28" s="44"/>
      <c r="R28" s="44"/>
      <c r="S28" s="44"/>
      <c r="T28" s="44"/>
      <c r="U28" s="44"/>
      <c r="V28" s="44"/>
      <c r="W28" s="44"/>
      <c r="X28" s="44"/>
      <c r="Y28" s="44"/>
      <c r="Z28" s="44"/>
      <c r="AA28" s="44"/>
      <c r="AB28" s="44"/>
      <c r="AC28" s="44"/>
      <c r="AD28" s="44"/>
      <c r="AE28" s="44"/>
      <c r="AF28" s="44"/>
      <c r="AG28" s="44"/>
      <c r="AH28" s="44"/>
      <c r="AI28" s="44"/>
      <c r="AJ28" s="44"/>
      <c r="AK28" s="44"/>
      <c r="AL28" s="44"/>
      <c r="AM28" s="44"/>
    </row>
    <row r="29" ht="27.75" customHeight="1" spans="1:39">
      <c r="A29" s="27">
        <v>35</v>
      </c>
      <c r="B29" s="27" t="s">
        <v>51</v>
      </c>
      <c r="C29" s="27" t="s">
        <v>54</v>
      </c>
      <c r="D29" s="29">
        <v>1</v>
      </c>
      <c r="E29" s="29" t="s">
        <v>53</v>
      </c>
      <c r="F29" s="29">
        <v>1.95</v>
      </c>
      <c r="G29" s="37" t="s">
        <v>608</v>
      </c>
      <c r="H29" s="30">
        <v>46051</v>
      </c>
      <c r="I29" s="29"/>
      <c r="J29" s="45">
        <f>H29+90</f>
        <v>46141</v>
      </c>
      <c r="K29" s="38">
        <f t="shared" ref="K29:K34" si="5">H29+90</f>
        <v>46141</v>
      </c>
      <c r="L29" s="39">
        <v>46142</v>
      </c>
      <c r="M29" s="32">
        <v>30</v>
      </c>
      <c r="N29" s="32">
        <f t="shared" ref="N29:N43" si="6">M29*F29*D29</f>
        <v>58.5</v>
      </c>
      <c r="O29" s="37">
        <f t="shared" ref="O29:O34" si="7">L29-K29+1</f>
        <v>2</v>
      </c>
      <c r="P29" s="37">
        <f>O29*F29*D29</f>
        <v>3.9</v>
      </c>
      <c r="Q29" s="44"/>
      <c r="R29" s="44"/>
      <c r="S29" s="44"/>
      <c r="T29" s="44"/>
      <c r="U29" s="44"/>
      <c r="V29" s="44"/>
      <c r="W29" s="44"/>
      <c r="X29" s="44"/>
      <c r="Y29" s="44"/>
      <c r="Z29" s="44"/>
      <c r="AA29" s="44"/>
      <c r="AB29" s="44"/>
      <c r="AC29" s="44"/>
      <c r="AD29" s="44"/>
      <c r="AE29" s="44"/>
      <c r="AF29" s="44"/>
      <c r="AG29" s="44"/>
      <c r="AH29" s="44"/>
      <c r="AI29" s="44"/>
      <c r="AJ29" s="44"/>
      <c r="AK29" s="44"/>
      <c r="AL29" s="44"/>
      <c r="AM29" s="44"/>
    </row>
    <row r="30" ht="27.75" customHeight="1" spans="1:39">
      <c r="A30" s="27">
        <v>35</v>
      </c>
      <c r="B30" s="27" t="s">
        <v>51</v>
      </c>
      <c r="C30" s="27" t="s">
        <v>54</v>
      </c>
      <c r="D30" s="29">
        <v>1</v>
      </c>
      <c r="E30" s="29" t="s">
        <v>53</v>
      </c>
      <c r="F30" s="29">
        <v>1.95</v>
      </c>
      <c r="G30" s="37" t="s">
        <v>609</v>
      </c>
      <c r="H30" s="30">
        <v>46051</v>
      </c>
      <c r="I30" s="29"/>
      <c r="J30" s="45">
        <f t="shared" ref="J30:J43" si="8">H30+90</f>
        <v>46141</v>
      </c>
      <c r="K30" s="38">
        <f t="shared" si="5"/>
        <v>46141</v>
      </c>
      <c r="L30" s="39">
        <v>46142</v>
      </c>
      <c r="M30" s="32">
        <v>30</v>
      </c>
      <c r="N30" s="32">
        <f t="shared" si="6"/>
        <v>58.5</v>
      </c>
      <c r="O30" s="37">
        <f t="shared" si="7"/>
        <v>2</v>
      </c>
      <c r="P30" s="37">
        <f t="shared" ref="P30:P43" si="9">O30*F30*D30</f>
        <v>3.9</v>
      </c>
      <c r="Q30" s="44"/>
      <c r="R30" s="44"/>
      <c r="S30" s="44"/>
      <c r="T30" s="44"/>
      <c r="U30" s="44"/>
      <c r="V30" s="44"/>
      <c r="W30" s="44"/>
      <c r="X30" s="44"/>
      <c r="Y30" s="44"/>
      <c r="Z30" s="44"/>
      <c r="AA30" s="44"/>
      <c r="AB30" s="44"/>
      <c r="AC30" s="44"/>
      <c r="AD30" s="44"/>
      <c r="AE30" s="44"/>
      <c r="AF30" s="44"/>
      <c r="AG30" s="44"/>
      <c r="AH30" s="44"/>
      <c r="AI30" s="44"/>
      <c r="AJ30" s="44"/>
      <c r="AK30" s="44"/>
      <c r="AL30" s="44"/>
      <c r="AM30" s="44"/>
    </row>
    <row r="31" ht="27.75" customHeight="1" spans="1:39">
      <c r="A31" s="27">
        <v>35</v>
      </c>
      <c r="B31" s="27" t="s">
        <v>51</v>
      </c>
      <c r="C31" s="27" t="s">
        <v>54</v>
      </c>
      <c r="D31" s="29">
        <v>1</v>
      </c>
      <c r="E31" s="29" t="s">
        <v>53</v>
      </c>
      <c r="F31" s="29">
        <v>1.95</v>
      </c>
      <c r="G31" s="37" t="s">
        <v>610</v>
      </c>
      <c r="H31" s="30">
        <v>46051</v>
      </c>
      <c r="I31" s="29"/>
      <c r="J31" s="45">
        <f t="shared" si="8"/>
        <v>46141</v>
      </c>
      <c r="K31" s="38">
        <f t="shared" si="5"/>
        <v>46141</v>
      </c>
      <c r="L31" s="39">
        <v>46142</v>
      </c>
      <c r="M31" s="32">
        <v>30</v>
      </c>
      <c r="N31" s="32">
        <f t="shared" si="6"/>
        <v>58.5</v>
      </c>
      <c r="O31" s="37">
        <f t="shared" si="7"/>
        <v>2</v>
      </c>
      <c r="P31" s="37">
        <f t="shared" si="9"/>
        <v>3.9</v>
      </c>
      <c r="Q31" s="44"/>
      <c r="R31" s="44"/>
      <c r="S31" s="44"/>
      <c r="T31" s="44"/>
      <c r="U31" s="44"/>
      <c r="V31" s="44"/>
      <c r="W31" s="44"/>
      <c r="X31" s="44"/>
      <c r="Y31" s="44"/>
      <c r="Z31" s="44"/>
      <c r="AA31" s="44"/>
      <c r="AB31" s="44"/>
      <c r="AC31" s="44"/>
      <c r="AD31" s="44"/>
      <c r="AE31" s="44"/>
      <c r="AF31" s="44"/>
      <c r="AG31" s="44"/>
      <c r="AH31" s="44"/>
      <c r="AI31" s="44"/>
      <c r="AJ31" s="44"/>
      <c r="AK31" s="44"/>
      <c r="AL31" s="44"/>
      <c r="AM31" s="44"/>
    </row>
    <row r="32" ht="27.75" customHeight="1" spans="1:39">
      <c r="A32" s="27">
        <v>35</v>
      </c>
      <c r="B32" s="27" t="s">
        <v>51</v>
      </c>
      <c r="C32" s="27" t="s">
        <v>54</v>
      </c>
      <c r="D32" s="29">
        <v>1</v>
      </c>
      <c r="E32" s="29" t="s">
        <v>53</v>
      </c>
      <c r="F32" s="29">
        <v>1.95</v>
      </c>
      <c r="G32" s="37" t="s">
        <v>611</v>
      </c>
      <c r="H32" s="30">
        <v>46051</v>
      </c>
      <c r="I32" s="37"/>
      <c r="J32" s="45">
        <f t="shared" si="8"/>
        <v>46141</v>
      </c>
      <c r="K32" s="38">
        <f t="shared" si="5"/>
        <v>46141</v>
      </c>
      <c r="L32" s="39">
        <v>46142</v>
      </c>
      <c r="M32" s="32">
        <v>30</v>
      </c>
      <c r="N32" s="32">
        <f t="shared" si="6"/>
        <v>58.5</v>
      </c>
      <c r="O32" s="37">
        <f t="shared" si="7"/>
        <v>2</v>
      </c>
      <c r="P32" s="37">
        <f t="shared" si="9"/>
        <v>3.9</v>
      </c>
    </row>
    <row r="33" ht="27.75" customHeight="1" spans="1:16">
      <c r="A33" s="27">
        <v>35</v>
      </c>
      <c r="B33" s="27" t="s">
        <v>51</v>
      </c>
      <c r="C33" s="27" t="s">
        <v>54</v>
      </c>
      <c r="D33" s="29">
        <v>1</v>
      </c>
      <c r="E33" s="29" t="s">
        <v>53</v>
      </c>
      <c r="F33" s="29">
        <v>1.95</v>
      </c>
      <c r="G33" s="37" t="s">
        <v>612</v>
      </c>
      <c r="H33" s="30">
        <v>46051</v>
      </c>
      <c r="I33" s="37"/>
      <c r="J33" s="45">
        <f t="shared" si="8"/>
        <v>46141</v>
      </c>
      <c r="K33" s="38">
        <f t="shared" si="5"/>
        <v>46141</v>
      </c>
      <c r="L33" s="39">
        <v>46142</v>
      </c>
      <c r="M33" s="32">
        <v>30</v>
      </c>
      <c r="N33" s="32">
        <f t="shared" si="6"/>
        <v>58.5</v>
      </c>
      <c r="O33" s="37">
        <f t="shared" si="7"/>
        <v>2</v>
      </c>
      <c r="P33" s="37">
        <f t="shared" si="9"/>
        <v>3.9</v>
      </c>
    </row>
    <row r="34" ht="27.75" customHeight="1" spans="1:16">
      <c r="A34" s="27">
        <v>35</v>
      </c>
      <c r="B34" s="27" t="s">
        <v>51</v>
      </c>
      <c r="C34" s="27" t="s">
        <v>54</v>
      </c>
      <c r="D34" s="29">
        <v>1</v>
      </c>
      <c r="E34" s="29" t="s">
        <v>53</v>
      </c>
      <c r="F34" s="29">
        <v>1.95</v>
      </c>
      <c r="G34" s="37" t="s">
        <v>613</v>
      </c>
      <c r="H34" s="30">
        <v>46051</v>
      </c>
      <c r="I34" s="37"/>
      <c r="J34" s="45">
        <f t="shared" si="8"/>
        <v>46141</v>
      </c>
      <c r="K34" s="38">
        <f t="shared" si="5"/>
        <v>46141</v>
      </c>
      <c r="L34" s="39">
        <v>46142</v>
      </c>
      <c r="M34" s="32">
        <v>30</v>
      </c>
      <c r="N34" s="32">
        <f t="shared" si="6"/>
        <v>58.5</v>
      </c>
      <c r="O34" s="37">
        <f t="shared" si="7"/>
        <v>2</v>
      </c>
      <c r="P34" s="37">
        <f t="shared" si="9"/>
        <v>3.9</v>
      </c>
    </row>
    <row r="35" ht="27.75" customHeight="1" spans="1:16">
      <c r="A35" s="27">
        <v>35</v>
      </c>
      <c r="B35" s="27" t="s">
        <v>51</v>
      </c>
      <c r="C35" s="27" t="s">
        <v>54</v>
      </c>
      <c r="D35" s="29">
        <v>1</v>
      </c>
      <c r="E35" s="29" t="s">
        <v>53</v>
      </c>
      <c r="F35" s="29">
        <v>1.95</v>
      </c>
      <c r="G35" s="46" t="s">
        <v>614</v>
      </c>
      <c r="H35" s="42">
        <v>46127</v>
      </c>
      <c r="I35" s="37"/>
      <c r="J35" s="45">
        <f t="shared" si="8"/>
        <v>46217</v>
      </c>
      <c r="K35" s="47">
        <v>46113</v>
      </c>
      <c r="L35" s="39">
        <v>46142</v>
      </c>
      <c r="M35" s="32">
        <v>30</v>
      </c>
      <c r="N35" s="32">
        <f t="shared" si="6"/>
        <v>58.5</v>
      </c>
      <c r="O35" s="37">
        <v>0</v>
      </c>
      <c r="P35" s="37">
        <f t="shared" si="9"/>
        <v>0</v>
      </c>
    </row>
    <row r="36" ht="27.75" customHeight="1" spans="1:16">
      <c r="A36" s="27">
        <v>35</v>
      </c>
      <c r="B36" s="27" t="s">
        <v>51</v>
      </c>
      <c r="C36" s="27" t="s">
        <v>54</v>
      </c>
      <c r="D36" s="29">
        <v>1</v>
      </c>
      <c r="E36" s="29" t="s">
        <v>53</v>
      </c>
      <c r="F36" s="29">
        <v>1.95</v>
      </c>
      <c r="G36" s="46" t="s">
        <v>615</v>
      </c>
      <c r="H36" s="42">
        <v>46127</v>
      </c>
      <c r="I36" s="37"/>
      <c r="J36" s="45">
        <f t="shared" si="8"/>
        <v>46217</v>
      </c>
      <c r="K36" s="47">
        <v>46113</v>
      </c>
      <c r="L36" s="39">
        <v>46142</v>
      </c>
      <c r="M36" s="32">
        <v>30</v>
      </c>
      <c r="N36" s="32">
        <f t="shared" si="6"/>
        <v>58.5</v>
      </c>
      <c r="O36" s="37">
        <v>0</v>
      </c>
      <c r="P36" s="37">
        <f t="shared" si="9"/>
        <v>0</v>
      </c>
    </row>
    <row r="37" ht="27.75" customHeight="1" spans="1:16">
      <c r="A37" s="27">
        <v>35</v>
      </c>
      <c r="B37" s="27" t="s">
        <v>51</v>
      </c>
      <c r="C37" s="27" t="s">
        <v>54</v>
      </c>
      <c r="D37" s="29">
        <v>1</v>
      </c>
      <c r="E37" s="29" t="s">
        <v>53</v>
      </c>
      <c r="F37" s="29">
        <v>1.95</v>
      </c>
      <c r="G37" s="46" t="s">
        <v>616</v>
      </c>
      <c r="H37" s="42">
        <v>46127</v>
      </c>
      <c r="I37" s="37"/>
      <c r="J37" s="45">
        <f t="shared" si="8"/>
        <v>46217</v>
      </c>
      <c r="K37" s="47">
        <v>46113</v>
      </c>
      <c r="L37" s="39">
        <v>46142</v>
      </c>
      <c r="M37" s="32">
        <v>30</v>
      </c>
      <c r="N37" s="32">
        <f t="shared" si="6"/>
        <v>58.5</v>
      </c>
      <c r="O37" s="37">
        <v>0</v>
      </c>
      <c r="P37" s="37">
        <f t="shared" si="9"/>
        <v>0</v>
      </c>
    </row>
    <row r="38" ht="27.75" customHeight="1" spans="1:16">
      <c r="A38" s="27">
        <v>35</v>
      </c>
      <c r="B38" s="27" t="s">
        <v>51</v>
      </c>
      <c r="C38" s="27" t="s">
        <v>54</v>
      </c>
      <c r="D38" s="29">
        <v>1</v>
      </c>
      <c r="E38" s="29" t="s">
        <v>53</v>
      </c>
      <c r="F38" s="29">
        <v>1.95</v>
      </c>
      <c r="G38" s="46" t="s">
        <v>617</v>
      </c>
      <c r="H38" s="42">
        <v>46127</v>
      </c>
      <c r="I38" s="37"/>
      <c r="J38" s="45">
        <f t="shared" si="8"/>
        <v>46217</v>
      </c>
      <c r="K38" s="47">
        <v>46113</v>
      </c>
      <c r="L38" s="39">
        <v>46142</v>
      </c>
      <c r="M38" s="32">
        <v>30</v>
      </c>
      <c r="N38" s="32">
        <f t="shared" si="6"/>
        <v>58.5</v>
      </c>
      <c r="O38" s="37">
        <v>0</v>
      </c>
      <c r="P38" s="37">
        <f t="shared" si="9"/>
        <v>0</v>
      </c>
    </row>
    <row r="39" ht="27.75" customHeight="1" spans="1:16">
      <c r="A39" s="27">
        <v>35</v>
      </c>
      <c r="B39" s="27" t="s">
        <v>51</v>
      </c>
      <c r="C39" s="27" t="s">
        <v>54</v>
      </c>
      <c r="D39" s="29">
        <v>1</v>
      </c>
      <c r="E39" s="29" t="s">
        <v>53</v>
      </c>
      <c r="F39" s="29">
        <v>1.95</v>
      </c>
      <c r="G39" s="46" t="s">
        <v>618</v>
      </c>
      <c r="H39" s="42">
        <v>46127</v>
      </c>
      <c r="I39" s="37"/>
      <c r="J39" s="45">
        <f t="shared" si="8"/>
        <v>46217</v>
      </c>
      <c r="K39" s="47">
        <v>46113</v>
      </c>
      <c r="L39" s="39">
        <v>46142</v>
      </c>
      <c r="M39" s="32">
        <v>30</v>
      </c>
      <c r="N39" s="32">
        <f t="shared" si="6"/>
        <v>58.5</v>
      </c>
      <c r="O39" s="37">
        <v>0</v>
      </c>
      <c r="P39" s="37">
        <f t="shared" si="9"/>
        <v>0</v>
      </c>
    </row>
    <row r="40" ht="27.75" customHeight="1" spans="1:16">
      <c r="A40" s="27">
        <v>35</v>
      </c>
      <c r="B40" s="27" t="s">
        <v>51</v>
      </c>
      <c r="C40" s="27" t="s">
        <v>54</v>
      </c>
      <c r="D40" s="29">
        <v>1</v>
      </c>
      <c r="E40" s="29" t="s">
        <v>53</v>
      </c>
      <c r="F40" s="29">
        <v>1.95</v>
      </c>
      <c r="G40" s="46" t="s">
        <v>619</v>
      </c>
      <c r="H40" s="42">
        <v>46127</v>
      </c>
      <c r="I40" s="37"/>
      <c r="J40" s="45">
        <f t="shared" si="8"/>
        <v>46217</v>
      </c>
      <c r="K40" s="47">
        <v>46113</v>
      </c>
      <c r="L40" s="39">
        <v>46142</v>
      </c>
      <c r="M40" s="32">
        <v>30</v>
      </c>
      <c r="N40" s="32">
        <f t="shared" si="6"/>
        <v>58.5</v>
      </c>
      <c r="O40" s="37">
        <v>0</v>
      </c>
      <c r="P40" s="37">
        <f t="shared" si="9"/>
        <v>0</v>
      </c>
    </row>
    <row r="41" ht="27.75" customHeight="1" spans="1:16">
      <c r="A41" s="27">
        <v>35</v>
      </c>
      <c r="B41" s="27" t="s">
        <v>51</v>
      </c>
      <c r="C41" s="27" t="s">
        <v>54</v>
      </c>
      <c r="D41" s="29">
        <v>1</v>
      </c>
      <c r="E41" s="29" t="s">
        <v>53</v>
      </c>
      <c r="F41" s="29">
        <v>1.95</v>
      </c>
      <c r="G41" s="46" t="s">
        <v>620</v>
      </c>
      <c r="H41" s="42">
        <v>46127</v>
      </c>
      <c r="I41" s="37"/>
      <c r="J41" s="45">
        <f t="shared" si="8"/>
        <v>46217</v>
      </c>
      <c r="K41" s="47">
        <v>46113</v>
      </c>
      <c r="L41" s="39">
        <v>46142</v>
      </c>
      <c r="M41" s="32">
        <v>30</v>
      </c>
      <c r="N41" s="32">
        <f t="shared" si="6"/>
        <v>58.5</v>
      </c>
      <c r="O41" s="37">
        <v>0</v>
      </c>
      <c r="P41" s="37">
        <f t="shared" si="9"/>
        <v>0</v>
      </c>
    </row>
    <row r="42" ht="27.75" customHeight="1" spans="1:16">
      <c r="A42" s="27">
        <v>35</v>
      </c>
      <c r="B42" s="27" t="s">
        <v>51</v>
      </c>
      <c r="C42" s="27" t="s">
        <v>54</v>
      </c>
      <c r="D42" s="29">
        <v>1</v>
      </c>
      <c r="E42" s="29" t="s">
        <v>53</v>
      </c>
      <c r="F42" s="29">
        <v>1.95</v>
      </c>
      <c r="G42" s="46" t="s">
        <v>621</v>
      </c>
      <c r="H42" s="42">
        <v>46127</v>
      </c>
      <c r="I42" s="37"/>
      <c r="J42" s="45">
        <f t="shared" si="8"/>
        <v>46217</v>
      </c>
      <c r="K42" s="47">
        <v>46113</v>
      </c>
      <c r="L42" s="39">
        <v>46142</v>
      </c>
      <c r="M42" s="32">
        <v>30</v>
      </c>
      <c r="N42" s="32">
        <f t="shared" si="6"/>
        <v>58.5</v>
      </c>
      <c r="O42" s="37">
        <v>0</v>
      </c>
      <c r="P42" s="37">
        <f t="shared" si="9"/>
        <v>0</v>
      </c>
    </row>
    <row r="43" ht="27.75" customHeight="1" spans="1:16">
      <c r="A43" s="27">
        <v>35</v>
      </c>
      <c r="B43" s="27" t="s">
        <v>51</v>
      </c>
      <c r="C43" s="27" t="s">
        <v>54</v>
      </c>
      <c r="D43" s="29">
        <v>1</v>
      </c>
      <c r="E43" s="29" t="s">
        <v>53</v>
      </c>
      <c r="F43" s="29">
        <v>1.95</v>
      </c>
      <c r="G43" s="46" t="s">
        <v>622</v>
      </c>
      <c r="H43" s="42">
        <v>46127</v>
      </c>
      <c r="I43" s="37"/>
      <c r="J43" s="45">
        <f t="shared" si="8"/>
        <v>46217</v>
      </c>
      <c r="K43" s="47">
        <v>46113</v>
      </c>
      <c r="L43" s="39">
        <v>46142</v>
      </c>
      <c r="M43" s="32">
        <v>30</v>
      </c>
      <c r="N43" s="32">
        <f t="shared" si="6"/>
        <v>58.5</v>
      </c>
      <c r="O43" s="37">
        <v>0</v>
      </c>
      <c r="P43" s="37">
        <f t="shared" si="9"/>
        <v>0</v>
      </c>
    </row>
    <row r="44" ht="27" customHeight="1" spans="1:16">
      <c r="A44" s="29" t="s">
        <v>126</v>
      </c>
      <c r="B44" s="29"/>
      <c r="C44" s="29"/>
      <c r="D44" s="29">
        <f>SUM(D29:D43)</f>
        <v>15</v>
      </c>
      <c r="E44" s="29" t="s">
        <v>127</v>
      </c>
      <c r="F44" s="29"/>
      <c r="G44" s="29"/>
      <c r="H44" s="29"/>
      <c r="I44" s="29"/>
      <c r="J44" s="29"/>
      <c r="K44" s="29"/>
      <c r="L44" s="29"/>
      <c r="M44" s="29"/>
      <c r="N44" s="33">
        <f>SUM(N29:N43)</f>
        <v>877.5</v>
      </c>
      <c r="O44" s="34"/>
      <c r="P44" s="33">
        <f>SUM(P29:P43)</f>
        <v>23.4</v>
      </c>
    </row>
    <row r="46" customHeight="1" spans="1:16">
      <c r="A46" s="48" t="s">
        <v>16</v>
      </c>
      <c r="B46" s="48" t="s">
        <v>17</v>
      </c>
      <c r="C46" s="48" t="s">
        <v>18</v>
      </c>
      <c r="D46" s="48" t="s">
        <v>65</v>
      </c>
      <c r="E46" s="49" t="s">
        <v>46</v>
      </c>
      <c r="F46" s="25" t="s">
        <v>75</v>
      </c>
      <c r="G46" s="25"/>
      <c r="H46" s="25"/>
      <c r="I46" s="25"/>
      <c r="J46" s="25"/>
      <c r="K46" s="25"/>
      <c r="L46" s="25"/>
      <c r="M46" s="25"/>
      <c r="N46" s="25"/>
      <c r="O46" s="25"/>
      <c r="P46" s="25"/>
    </row>
    <row r="47" customHeight="1" spans="1:16">
      <c r="A47" s="14">
        <v>50</v>
      </c>
      <c r="B47" s="14" t="s">
        <v>30</v>
      </c>
      <c r="C47" s="14" t="s">
        <v>31</v>
      </c>
      <c r="D47" s="14">
        <v>1</v>
      </c>
      <c r="E47" s="14" t="s">
        <v>53</v>
      </c>
      <c r="F47" s="50">
        <f>P4</f>
        <v>0</v>
      </c>
      <c r="G47" s="51"/>
      <c r="H47" s="51"/>
      <c r="I47" s="51"/>
      <c r="J47" s="51"/>
      <c r="K47" s="51"/>
      <c r="L47" s="51"/>
      <c r="M47" s="51"/>
      <c r="N47" s="51"/>
      <c r="O47" s="51"/>
      <c r="P47" s="51"/>
    </row>
    <row r="48" customHeight="1" spans="1:16">
      <c r="A48" s="27">
        <v>30</v>
      </c>
      <c r="B48" s="27" t="s">
        <v>21</v>
      </c>
      <c r="C48" s="14" t="s">
        <v>32</v>
      </c>
      <c r="D48" s="32">
        <v>15</v>
      </c>
      <c r="E48" s="52" t="s">
        <v>53</v>
      </c>
      <c r="F48" s="32">
        <f>SUM(P9:P23)</f>
        <v>0</v>
      </c>
      <c r="G48" s="32"/>
      <c r="H48" s="32"/>
      <c r="I48" s="32"/>
      <c r="J48" s="32"/>
      <c r="K48" s="32"/>
      <c r="L48" s="32"/>
      <c r="M48" s="32"/>
      <c r="N48" s="32"/>
      <c r="O48" s="32"/>
      <c r="P48" s="32"/>
    </row>
    <row r="49" customHeight="1" spans="1:16">
      <c r="A49" s="27">
        <v>35</v>
      </c>
      <c r="B49" s="27" t="s">
        <v>51</v>
      </c>
      <c r="C49" s="27" t="s">
        <v>54</v>
      </c>
      <c r="D49" s="29">
        <v>15</v>
      </c>
      <c r="E49" s="29" t="s">
        <v>53</v>
      </c>
      <c r="F49" s="53">
        <f>SUM(P29:P43)</f>
        <v>23.4</v>
      </c>
      <c r="G49" s="54"/>
      <c r="H49" s="54"/>
      <c r="I49" s="54"/>
      <c r="J49" s="54"/>
      <c r="K49" s="54"/>
      <c r="L49" s="54"/>
      <c r="M49" s="54"/>
      <c r="N49" s="54"/>
      <c r="O49" s="54"/>
      <c r="P49" s="54"/>
    </row>
    <row r="50" customHeight="1" spans="1:16">
      <c r="A50" s="32" t="s">
        <v>146</v>
      </c>
      <c r="B50" s="32"/>
      <c r="C50" s="32"/>
      <c r="D50" s="32"/>
      <c r="E50" s="55"/>
      <c r="F50" s="56">
        <f>SUM(F47:F49)</f>
        <v>23.4</v>
      </c>
      <c r="G50" s="56"/>
      <c r="H50" s="56"/>
      <c r="I50" s="56"/>
      <c r="J50" s="56"/>
      <c r="K50" s="56"/>
      <c r="L50" s="56"/>
      <c r="M50" s="56"/>
      <c r="N50" s="56"/>
      <c r="O50" s="56"/>
      <c r="P50" s="56"/>
    </row>
  </sheetData>
  <mergeCells count="15">
    <mergeCell ref="A1:P1"/>
    <mergeCell ref="A4:C4"/>
    <mergeCell ref="E4:M4"/>
    <mergeCell ref="A7:P7"/>
    <mergeCell ref="A24:C24"/>
    <mergeCell ref="E24:M24"/>
    <mergeCell ref="A27:P27"/>
    <mergeCell ref="A44:C44"/>
    <mergeCell ref="E44:M44"/>
    <mergeCell ref="F46:P46"/>
    <mergeCell ref="F47:P47"/>
    <mergeCell ref="F48:P48"/>
    <mergeCell ref="F49:P49"/>
    <mergeCell ref="A50:E50"/>
    <mergeCell ref="F50:P50"/>
  </mergeCell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97"/>
  <sheetViews>
    <sheetView zoomScale="55" zoomScaleNormal="55" workbookViewId="0">
      <selection activeCell="A2" sqref="$A2:$XFD5"/>
    </sheetView>
  </sheetViews>
  <sheetFormatPr defaultColWidth="28.3359375" defaultRowHeight="13.5" customHeight="1"/>
  <cols>
    <col min="1" max="1" width="5.8359375" style="12" customWidth="1"/>
    <col min="2" max="2" width="9.8359375" style="12" customWidth="1"/>
    <col min="3" max="3" width="25.3359375" style="12" customWidth="1"/>
    <col min="4" max="5" width="13.1640625" style="12" customWidth="1"/>
    <col min="6" max="6" width="26" style="12" customWidth="1"/>
    <col min="7" max="7" width="5.8359375" style="12" customWidth="1"/>
    <col min="8" max="8" width="9.1640625" style="12" customWidth="1"/>
    <col min="9" max="10" width="9.8359375" style="12" customWidth="1"/>
    <col min="11" max="12" width="11.1640625" style="11" customWidth="1"/>
    <col min="13" max="13" width="6.328125" style="11" customWidth="1"/>
  </cols>
  <sheetData>
    <row r="1" ht="33" customHeight="1" spans="1:13">
      <c r="A1" s="13" t="s">
        <v>42</v>
      </c>
      <c r="B1" s="13" t="s">
        <v>43</v>
      </c>
      <c r="C1" s="13" t="s">
        <v>44</v>
      </c>
      <c r="D1" s="13" t="s">
        <v>16</v>
      </c>
      <c r="E1" s="13" t="s">
        <v>17</v>
      </c>
      <c r="F1" s="13" t="s">
        <v>18</v>
      </c>
      <c r="G1" s="13" t="s">
        <v>65</v>
      </c>
      <c r="H1" s="13" t="s">
        <v>46</v>
      </c>
      <c r="I1" s="13" t="s">
        <v>623</v>
      </c>
      <c r="J1" s="13" t="s">
        <v>66</v>
      </c>
      <c r="K1" s="13" t="s">
        <v>75</v>
      </c>
      <c r="L1" s="13" t="s">
        <v>624</v>
      </c>
      <c r="M1" s="13" t="s">
        <v>67</v>
      </c>
    </row>
    <row r="2" ht="33" customHeight="1" spans="1:13">
      <c r="A2" s="14"/>
      <c r="B2" s="15"/>
      <c r="C2" s="15"/>
      <c r="D2" s="14"/>
      <c r="E2" s="15"/>
      <c r="F2" s="15"/>
      <c r="G2" s="14"/>
      <c r="H2" s="15"/>
      <c r="I2" s="15"/>
      <c r="J2" s="16"/>
      <c r="K2" s="17"/>
      <c r="L2" s="17"/>
      <c r="M2" s="18"/>
    </row>
    <row r="3" ht="33" customHeight="1" spans="1:13">
      <c r="A3" s="14"/>
      <c r="B3" s="15"/>
      <c r="C3" s="15"/>
      <c r="D3" s="14"/>
      <c r="E3" s="15"/>
      <c r="F3" s="15"/>
      <c r="G3" s="14"/>
      <c r="H3" s="15"/>
      <c r="I3" s="15"/>
      <c r="J3" s="16"/>
      <c r="K3" s="17"/>
      <c r="L3" s="17"/>
      <c r="M3" s="18"/>
    </row>
    <row r="4" ht="33" customHeight="1" spans="1:13">
      <c r="A4" s="14"/>
      <c r="B4" s="15"/>
      <c r="C4" s="15"/>
      <c r="D4" s="14"/>
      <c r="E4" s="15"/>
      <c r="F4" s="15"/>
      <c r="G4" s="14"/>
      <c r="H4" s="15"/>
      <c r="I4" s="15"/>
      <c r="J4" s="16"/>
      <c r="K4" s="17"/>
      <c r="L4" s="17"/>
      <c r="M4" s="18"/>
    </row>
    <row r="5" ht="33" customHeight="1" spans="1:13">
      <c r="A5" s="14"/>
      <c r="B5" s="15"/>
      <c r="C5" s="15"/>
      <c r="D5" s="14"/>
      <c r="E5" s="15"/>
      <c r="F5" s="15"/>
      <c r="G5" s="14"/>
      <c r="H5" s="15"/>
      <c r="I5" s="15"/>
      <c r="J5" s="16"/>
      <c r="K5" s="17"/>
      <c r="L5" s="17"/>
      <c r="M5" s="18"/>
    </row>
    <row r="6" s="11" customFormat="1" ht="33" customHeight="1" spans="1:13">
      <c r="A6" s="19" t="s">
        <v>63</v>
      </c>
      <c r="B6" s="19"/>
      <c r="C6" s="19"/>
      <c r="D6" s="19"/>
      <c r="E6" s="19"/>
      <c r="F6" s="19"/>
      <c r="G6" s="19"/>
      <c r="H6" s="19"/>
      <c r="I6" s="19"/>
      <c r="J6" s="18"/>
      <c r="K6" s="20">
        <f>SUM(K2:K5)</f>
        <v>0</v>
      </c>
      <c r="L6" s="20">
        <f>SUM(L2:L5)</f>
        <v>0</v>
      </c>
      <c r="M6" s="18"/>
    </row>
    <row r="7" ht="33" customHeight="1"/>
    <row r="8" ht="33" customHeight="1" spans="1:13">
      <c r="K8" s="11" t="s">
        <v>625</v>
      </c>
    </row>
    <row r="9" ht="33" customHeight="1"/>
    <row r="10" ht="33" customHeight="1"/>
    <row r="11" ht="33" customHeight="1"/>
    <row r="12" ht="33" customHeight="1"/>
    <row r="13" ht="33" customHeight="1"/>
    <row r="14" ht="33" customHeight="1"/>
    <row r="15" ht="33" customHeight="1"/>
    <row r="16" ht="33" customHeight="1"/>
    <row r="17" ht="33" customHeight="1"/>
    <row r="18" ht="33" customHeight="1"/>
    <row r="19" ht="33" customHeight="1"/>
    <row r="20" ht="33" customHeight="1"/>
    <row r="21" ht="33" customHeight="1"/>
    <row r="22" ht="33" customHeight="1"/>
    <row r="23" ht="33" customHeight="1"/>
    <row r="24" ht="33" customHeight="1"/>
    <row r="25" ht="33" customHeight="1"/>
    <row r="26" ht="33" customHeight="1"/>
    <row r="27" ht="33" customHeight="1"/>
    <row r="28" ht="33" customHeight="1"/>
    <row r="29" ht="33" customHeight="1"/>
    <row r="30" ht="33" customHeight="1"/>
    <row r="31" ht="33" customHeight="1"/>
    <row r="32" ht="33" customHeight="1"/>
    <row r="33" ht="33" customHeight="1"/>
    <row r="34" ht="33" customHeight="1"/>
    <row r="35" ht="33" customHeight="1"/>
    <row r="36" ht="33" customHeight="1"/>
    <row r="37" ht="33" customHeight="1"/>
    <row r="38" ht="33" customHeight="1"/>
    <row r="39" ht="33" customHeight="1"/>
    <row r="40" ht="33" customHeight="1"/>
    <row r="41" ht="33" customHeight="1"/>
    <row r="42" ht="33" customHeight="1"/>
    <row r="43" ht="33" customHeight="1"/>
    <row r="44" ht="33" customHeight="1"/>
    <row r="45" ht="33" customHeight="1"/>
    <row r="46" ht="33" customHeight="1"/>
    <row r="47" ht="33" customHeight="1"/>
    <row r="48" ht="33" customHeight="1"/>
    <row r="49" ht="33" customHeight="1"/>
    <row r="50" ht="33" customHeight="1"/>
    <row r="51" ht="33" customHeight="1"/>
    <row r="52" ht="33" customHeight="1"/>
    <row r="53" ht="33" customHeight="1"/>
    <row r="54" ht="33" customHeight="1"/>
    <row r="55" ht="33" customHeight="1"/>
    <row r="56" ht="33" customHeight="1"/>
    <row r="57" ht="33" customHeight="1"/>
    <row r="58" ht="33" customHeight="1"/>
    <row r="59" ht="33" customHeight="1"/>
    <row r="60" ht="33" customHeight="1"/>
    <row r="61" ht="33" customHeight="1"/>
    <row r="62" ht="33" customHeight="1"/>
    <row r="63" ht="33" customHeight="1"/>
    <row r="64" ht="33" customHeight="1"/>
    <row r="65" ht="33" customHeight="1"/>
    <row r="66" ht="33" customHeight="1"/>
    <row r="67" ht="33" customHeight="1"/>
    <row r="68" ht="33" customHeight="1"/>
    <row r="69" ht="33" customHeight="1"/>
    <row r="70" ht="33" customHeight="1"/>
    <row r="71" ht="33" customHeight="1"/>
    <row r="72" ht="33" customHeight="1"/>
    <row r="73" ht="33" customHeight="1"/>
    <row r="74" ht="33" customHeight="1"/>
    <row r="75" ht="33" customHeight="1"/>
    <row r="76" ht="33" customHeight="1"/>
    <row r="77" ht="33" customHeight="1"/>
    <row r="78" ht="33" customHeight="1"/>
    <row r="79" ht="33" customHeight="1"/>
    <row r="80" ht="33" customHeight="1"/>
    <row r="81" ht="33" customHeight="1"/>
    <row r="82" ht="33" customHeight="1"/>
    <row r="83" ht="33" customHeight="1"/>
    <row r="84" ht="33" customHeight="1"/>
    <row r="85" ht="33" customHeight="1"/>
    <row r="86" ht="33" customHeight="1"/>
    <row r="87" ht="33" customHeight="1"/>
    <row r="88" ht="33" customHeight="1"/>
    <row r="89" ht="33" customHeight="1"/>
    <row r="90" ht="33" customHeight="1"/>
    <row r="91" ht="33" customHeight="1"/>
    <row r="92" ht="33" customHeight="1"/>
    <row r="93" ht="33" customHeight="1"/>
    <row r="94" ht="33" customHeight="1"/>
    <row r="95" ht="33" customHeight="1"/>
    <row r="96" ht="33" customHeight="1"/>
    <row r="97" ht="33" customHeight="1"/>
    <row r="98" ht="33" customHeight="1"/>
    <row r="99" ht="33" customHeight="1"/>
    <row r="100" ht="33" customHeight="1"/>
    <row r="101" ht="33" customHeight="1"/>
    <row r="102" ht="33" customHeight="1"/>
    <row r="103" ht="33" customHeight="1"/>
    <row r="104" ht="33" customHeight="1"/>
    <row r="105" ht="33" customHeight="1"/>
    <row r="106" ht="33" customHeight="1"/>
    <row r="107" ht="33" customHeight="1"/>
    <row r="108" ht="33" customHeight="1"/>
    <row r="109" ht="33" customHeight="1"/>
    <row r="110" ht="33" customHeight="1"/>
    <row r="111" ht="33" customHeight="1"/>
    <row r="112" ht="33" customHeight="1"/>
    <row r="113" ht="33" customHeight="1"/>
    <row r="114" ht="33" customHeight="1"/>
    <row r="115" ht="33" customHeight="1"/>
    <row r="116" ht="33" customHeight="1"/>
    <row r="117" ht="33" customHeight="1"/>
    <row r="118" ht="33" customHeight="1"/>
    <row r="119" ht="33" customHeight="1"/>
    <row r="120" ht="33" customHeight="1"/>
    <row r="121" ht="33" customHeight="1"/>
    <row r="122" ht="33" customHeight="1"/>
    <row r="123" ht="33" customHeight="1"/>
    <row r="124" ht="33" customHeight="1"/>
    <row r="125" ht="33" customHeight="1"/>
    <row r="126" ht="33" customHeight="1"/>
    <row r="127" ht="33" customHeight="1"/>
    <row r="128" ht="33" customHeight="1"/>
    <row r="129" ht="33" customHeight="1"/>
    <row r="130" ht="33" customHeight="1"/>
    <row r="131" ht="33" customHeight="1"/>
    <row r="132" ht="33" customHeight="1"/>
    <row r="133" ht="33" customHeight="1"/>
    <row r="134" ht="33" customHeight="1"/>
    <row r="135" ht="33" customHeight="1"/>
    <row r="136" ht="33" customHeight="1"/>
    <row r="137" ht="33" customHeight="1"/>
    <row r="138" ht="33" customHeight="1"/>
    <row r="139" ht="33" customHeight="1"/>
    <row r="140" ht="33" customHeight="1"/>
    <row r="141" ht="33" customHeight="1"/>
    <row r="142" ht="33" customHeight="1"/>
    <row r="143" ht="33" customHeight="1"/>
    <row r="144" ht="33" customHeight="1"/>
    <row r="145" ht="33" customHeight="1"/>
    <row r="146" ht="33" customHeight="1"/>
    <row r="147" ht="33" customHeight="1"/>
    <row r="148" ht="33" customHeight="1"/>
    <row r="149" ht="33" customHeight="1"/>
    <row r="150" ht="33" customHeight="1"/>
    <row r="151" ht="33" customHeight="1"/>
    <row r="152" ht="33" customHeight="1"/>
    <row r="153" ht="33" customHeight="1"/>
    <row r="154" ht="33" customHeight="1"/>
    <row r="155" ht="33" customHeight="1"/>
    <row r="156" ht="33" customHeight="1"/>
    <row r="157" ht="33" customHeight="1"/>
    <row r="158" ht="33" customHeight="1"/>
    <row r="159" ht="33" customHeight="1"/>
    <row r="160" ht="33" customHeight="1"/>
    <row r="161" ht="33" customHeight="1"/>
    <row r="162" ht="33" customHeight="1"/>
    <row r="163" ht="33" customHeight="1"/>
    <row r="164" ht="33" customHeight="1"/>
    <row r="165" ht="33" customHeight="1"/>
    <row r="166" ht="33" customHeight="1"/>
    <row r="167" ht="33" customHeight="1"/>
    <row r="168" ht="33" customHeight="1"/>
    <row r="169" ht="33" customHeight="1"/>
    <row r="170" ht="33" customHeight="1"/>
    <row r="171" ht="33" customHeight="1"/>
    <row r="172" ht="33" customHeight="1"/>
    <row r="173" ht="33" customHeight="1"/>
    <row r="174" ht="33" customHeight="1"/>
    <row r="175" ht="33" customHeight="1"/>
    <row r="176" ht="33" customHeight="1"/>
    <row r="177" ht="33" customHeight="1"/>
    <row r="178" ht="33" customHeight="1"/>
    <row r="179" ht="33" customHeight="1"/>
    <row r="180" ht="33" customHeight="1"/>
    <row r="181" ht="33" customHeight="1"/>
    <row r="182" ht="33" customHeight="1"/>
    <row r="183" ht="33" customHeight="1"/>
    <row r="184" ht="33" customHeight="1"/>
    <row r="185" ht="33" customHeight="1"/>
    <row r="186" ht="33" customHeight="1"/>
    <row r="187" ht="33" customHeight="1"/>
    <row r="188" ht="33" customHeight="1"/>
    <row r="189" ht="33" customHeight="1"/>
    <row r="190" ht="33" customHeight="1"/>
    <row r="191" ht="33" customHeight="1"/>
    <row r="192" ht="33" customHeight="1"/>
    <row r="193" ht="33" customHeight="1"/>
    <row r="194" ht="33" customHeight="1"/>
    <row r="195" ht="33" customHeight="1"/>
    <row r="196" ht="33" customHeight="1"/>
    <row r="197" ht="33" customHeight="1"/>
  </sheetData>
  <mergeCells count="1">
    <mergeCell ref="A6:I6"/>
  </mergeCell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87"/>
  <sheetViews>
    <sheetView workbookViewId="0">
      <selection activeCell="I2" sqref="I$1:I$1048576"/>
    </sheetView>
  </sheetViews>
  <sheetFormatPr defaultColWidth="9" defaultRowHeight="16.1" customHeight="1"/>
  <cols>
    <col min="1" max="1" width="4.1640625" style="1" customWidth="1"/>
    <col min="2" max="2" width="11.5" style="1" customWidth="1"/>
    <col min="3" max="3" width="16.5" style="1" customWidth="1"/>
    <col min="4" max="4" width="18.1640625" style="1" customWidth="1"/>
    <col min="5" max="5" width="22.5" style="1" customWidth="1"/>
    <col min="6" max="6" width="4.1640625" style="1" customWidth="1"/>
    <col min="7" max="7" width="8.15625" style="1" customWidth="1"/>
    <col min="8" max="8" width="14.4609375" style="2" customWidth="1"/>
    <col min="9" max="9" width="7.5" style="1" customWidth="1"/>
    <col min="10" max="10" width="14.078125" style="2" customWidth="1"/>
    <col min="11" max="40" width="9" style="1" customWidth="1"/>
  </cols>
  <sheetData>
    <row r="1" ht="22.85" customHeight="1" spans="1:10">
      <c r="A1" s="3" t="s">
        <v>626</v>
      </c>
      <c r="B1" s="4"/>
      <c r="C1" s="4"/>
      <c r="D1" s="4"/>
      <c r="E1" s="4"/>
      <c r="F1" s="4"/>
      <c r="G1" s="4"/>
      <c r="H1" s="5"/>
      <c r="I1" s="4"/>
      <c r="J1" s="6"/>
    </row>
    <row r="2" ht="31.5" customHeight="1" spans="1:10">
      <c r="A2" s="7" t="s">
        <v>42</v>
      </c>
      <c r="B2" s="7" t="s">
        <v>627</v>
      </c>
      <c r="C2" s="7" t="s">
        <v>628</v>
      </c>
      <c r="D2" s="7" t="s">
        <v>629</v>
      </c>
      <c r="E2" s="7" t="s">
        <v>630</v>
      </c>
      <c r="F2" s="7" t="s">
        <v>65</v>
      </c>
      <c r="G2" s="7" t="s">
        <v>46</v>
      </c>
      <c r="H2" s="8" t="s">
        <v>631</v>
      </c>
      <c r="I2" s="7" t="s">
        <v>632</v>
      </c>
      <c r="J2" s="8" t="s">
        <v>633</v>
      </c>
    </row>
    <row r="3" customHeight="1" spans="1:10">
      <c r="A3" s="9">
        <v>1</v>
      </c>
      <c r="B3" s="9" t="s">
        <v>25</v>
      </c>
      <c r="C3" s="9" t="s">
        <v>634</v>
      </c>
      <c r="D3" s="9" t="s">
        <v>36</v>
      </c>
      <c r="E3" s="9" t="s">
        <v>635</v>
      </c>
      <c r="F3" s="9">
        <v>1</v>
      </c>
      <c r="G3" s="9" t="s">
        <v>53</v>
      </c>
      <c r="H3" s="10">
        <v>289.97</v>
      </c>
      <c r="I3" s="9">
        <v>0.98</v>
      </c>
      <c r="J3" s="10">
        <v>284.17</v>
      </c>
    </row>
    <row r="4" customHeight="1" spans="1:10">
      <c r="A4" s="9">
        <v>2</v>
      </c>
      <c r="B4" s="9" t="s">
        <v>25</v>
      </c>
      <c r="C4" s="9" t="s">
        <v>634</v>
      </c>
      <c r="D4" s="9" t="s">
        <v>36</v>
      </c>
      <c r="E4" s="9" t="s">
        <v>35</v>
      </c>
      <c r="F4" s="9">
        <v>1</v>
      </c>
      <c r="G4" s="9" t="s">
        <v>53</v>
      </c>
      <c r="H4" s="10">
        <v>424.22</v>
      </c>
      <c r="I4" s="9">
        <v>0.98</v>
      </c>
      <c r="J4" s="10">
        <v>415.74</v>
      </c>
    </row>
    <row r="5" customHeight="1" spans="1:10">
      <c r="A5" s="9">
        <v>3</v>
      </c>
      <c r="B5" s="9" t="s">
        <v>25</v>
      </c>
      <c r="C5" s="9" t="s">
        <v>634</v>
      </c>
      <c r="D5" s="9" t="s">
        <v>36</v>
      </c>
      <c r="E5" s="9" t="s">
        <v>636</v>
      </c>
      <c r="F5" s="9">
        <v>1</v>
      </c>
      <c r="G5" s="9" t="s">
        <v>53</v>
      </c>
      <c r="H5" s="10">
        <v>263.12</v>
      </c>
      <c r="I5" s="9">
        <v>0.98</v>
      </c>
      <c r="J5" s="10">
        <v>257.86</v>
      </c>
    </row>
    <row r="6" customHeight="1" spans="1:10">
      <c r="A6" s="9">
        <v>4</v>
      </c>
      <c r="B6" s="9" t="s">
        <v>25</v>
      </c>
      <c r="C6" s="9" t="s">
        <v>634</v>
      </c>
      <c r="D6" s="9" t="s">
        <v>29</v>
      </c>
      <c r="E6" s="9" t="s">
        <v>637</v>
      </c>
      <c r="F6" s="9">
        <v>1</v>
      </c>
      <c r="G6" s="9" t="s">
        <v>53</v>
      </c>
      <c r="H6" s="10">
        <v>96.66</v>
      </c>
      <c r="I6" s="9">
        <v>0.98</v>
      </c>
      <c r="J6" s="10">
        <v>94.73</v>
      </c>
    </row>
    <row r="7" customHeight="1" spans="1:10">
      <c r="A7" s="9">
        <v>5</v>
      </c>
      <c r="B7" s="9" t="s">
        <v>25</v>
      </c>
      <c r="C7" s="9" t="s">
        <v>634</v>
      </c>
      <c r="D7" s="9" t="s">
        <v>29</v>
      </c>
      <c r="E7" s="9" t="s">
        <v>212</v>
      </c>
      <c r="F7" s="9">
        <v>1</v>
      </c>
      <c r="G7" s="9" t="s">
        <v>53</v>
      </c>
      <c r="H7" s="10">
        <v>169.69</v>
      </c>
      <c r="I7" s="9">
        <v>0.98</v>
      </c>
      <c r="J7" s="10">
        <v>166.3</v>
      </c>
    </row>
    <row r="8" customHeight="1" spans="1:10">
      <c r="A8" s="9">
        <v>6</v>
      </c>
      <c r="B8" s="9" t="s">
        <v>25</v>
      </c>
      <c r="C8" s="9" t="s">
        <v>634</v>
      </c>
      <c r="D8" s="9" t="s">
        <v>29</v>
      </c>
      <c r="E8" s="9" t="s">
        <v>638</v>
      </c>
      <c r="F8" s="9">
        <v>1</v>
      </c>
      <c r="G8" s="9" t="s">
        <v>53</v>
      </c>
      <c r="H8" s="10">
        <v>96.66</v>
      </c>
      <c r="I8" s="9">
        <v>0.98</v>
      </c>
      <c r="J8" s="10">
        <v>94.73</v>
      </c>
    </row>
    <row r="9" customHeight="1" spans="1:10">
      <c r="A9" s="9">
        <v>7</v>
      </c>
      <c r="B9" s="9" t="s">
        <v>25</v>
      </c>
      <c r="C9" s="9" t="s">
        <v>634</v>
      </c>
      <c r="D9" s="9" t="s">
        <v>639</v>
      </c>
      <c r="E9" s="9" t="s">
        <v>640</v>
      </c>
      <c r="F9" s="9">
        <v>1</v>
      </c>
      <c r="G9" s="9" t="s">
        <v>53</v>
      </c>
      <c r="H9" s="10">
        <v>187.94</v>
      </c>
      <c r="I9" s="9">
        <v>0.98</v>
      </c>
      <c r="J9" s="10">
        <v>184.18</v>
      </c>
    </row>
    <row r="10" customHeight="1" spans="1:10">
      <c r="A10" s="9">
        <v>8</v>
      </c>
      <c r="B10" s="9" t="s">
        <v>25</v>
      </c>
      <c r="C10" s="9" t="s">
        <v>634</v>
      </c>
      <c r="D10" s="9" t="s">
        <v>641</v>
      </c>
      <c r="E10" s="9" t="s">
        <v>641</v>
      </c>
      <c r="F10" s="9">
        <v>1</v>
      </c>
      <c r="G10" s="9" t="s">
        <v>53</v>
      </c>
      <c r="H10" s="10">
        <v>283.53</v>
      </c>
      <c r="I10" s="9">
        <v>0.98</v>
      </c>
      <c r="J10" s="10">
        <v>277.86</v>
      </c>
    </row>
    <row r="11" customHeight="1" spans="1:10">
      <c r="A11" s="9">
        <v>9</v>
      </c>
      <c r="B11" s="9" t="s">
        <v>25</v>
      </c>
      <c r="C11" s="9" t="s">
        <v>634</v>
      </c>
      <c r="D11" s="9" t="s">
        <v>642</v>
      </c>
      <c r="E11" s="9" t="s">
        <v>642</v>
      </c>
      <c r="F11" s="9">
        <v>1</v>
      </c>
      <c r="G11" s="9" t="s">
        <v>53</v>
      </c>
      <c r="H11" s="10">
        <v>43.87</v>
      </c>
      <c r="I11" s="9">
        <v>0.98</v>
      </c>
      <c r="J11" s="10">
        <v>42.99</v>
      </c>
    </row>
    <row r="12" customHeight="1" spans="1:10">
      <c r="A12" s="9">
        <v>10</v>
      </c>
      <c r="B12" s="9" t="s">
        <v>25</v>
      </c>
      <c r="C12" s="9" t="s">
        <v>634</v>
      </c>
      <c r="D12" s="9" t="s">
        <v>643</v>
      </c>
      <c r="E12" s="9" t="s">
        <v>643</v>
      </c>
      <c r="F12" s="9">
        <v>1</v>
      </c>
      <c r="G12" s="9" t="s">
        <v>53</v>
      </c>
      <c r="H12" s="10">
        <v>284.6</v>
      </c>
      <c r="I12" s="9">
        <v>0.98</v>
      </c>
      <c r="J12" s="10">
        <v>278.91</v>
      </c>
    </row>
    <row r="13" customHeight="1" spans="1:10">
      <c r="A13" s="9">
        <v>11</v>
      </c>
      <c r="B13" s="9" t="s">
        <v>25</v>
      </c>
      <c r="C13" s="9" t="s">
        <v>634</v>
      </c>
      <c r="D13" s="9" t="s">
        <v>26</v>
      </c>
      <c r="E13" s="9" t="s">
        <v>26</v>
      </c>
      <c r="F13" s="9">
        <v>1</v>
      </c>
      <c r="G13" s="9" t="s">
        <v>53</v>
      </c>
      <c r="H13" s="10">
        <v>490</v>
      </c>
      <c r="I13" s="9">
        <v>0.98</v>
      </c>
      <c r="J13" s="10">
        <v>480.2</v>
      </c>
    </row>
    <row r="14" customHeight="1" spans="1:10">
      <c r="A14" s="9">
        <v>12</v>
      </c>
      <c r="B14" s="9" t="s">
        <v>25</v>
      </c>
      <c r="C14" s="9" t="s">
        <v>634</v>
      </c>
      <c r="D14" s="9" t="s">
        <v>28</v>
      </c>
      <c r="E14" s="9" t="s">
        <v>28</v>
      </c>
      <c r="F14" s="9">
        <v>1</v>
      </c>
      <c r="G14" s="9" t="s">
        <v>53</v>
      </c>
      <c r="H14" s="10">
        <v>490</v>
      </c>
      <c r="I14" s="9">
        <v>0.98</v>
      </c>
      <c r="J14" s="10">
        <v>480.2</v>
      </c>
    </row>
    <row r="15" customHeight="1" spans="1:10">
      <c r="A15" s="9">
        <v>13</v>
      </c>
      <c r="B15" s="9" t="s">
        <v>25</v>
      </c>
      <c r="C15" s="9" t="s">
        <v>634</v>
      </c>
      <c r="D15" s="9" t="s">
        <v>27</v>
      </c>
      <c r="E15" s="9" t="s">
        <v>27</v>
      </c>
      <c r="F15" s="9">
        <v>1</v>
      </c>
      <c r="G15" s="9" t="s">
        <v>53</v>
      </c>
      <c r="H15" s="10">
        <v>87.42</v>
      </c>
      <c r="I15" s="9">
        <v>0.98</v>
      </c>
      <c r="J15" s="10">
        <v>85.67</v>
      </c>
    </row>
    <row r="16" customHeight="1" spans="1:10">
      <c r="A16" s="9">
        <v>14</v>
      </c>
      <c r="B16" s="9" t="s">
        <v>25</v>
      </c>
      <c r="C16" s="9" t="s">
        <v>644</v>
      </c>
      <c r="D16" s="9" t="s">
        <v>645</v>
      </c>
      <c r="E16" s="9" t="s">
        <v>645</v>
      </c>
      <c r="F16" s="9">
        <v>1</v>
      </c>
      <c r="G16" s="9" t="s">
        <v>646</v>
      </c>
      <c r="H16" s="10">
        <v>264600</v>
      </c>
      <c r="I16" s="9">
        <v>0.98</v>
      </c>
      <c r="J16" s="10">
        <v>259308</v>
      </c>
    </row>
    <row r="17" customHeight="1" spans="1:10">
      <c r="A17" s="9">
        <v>15</v>
      </c>
      <c r="B17" s="9" t="s">
        <v>25</v>
      </c>
      <c r="C17" s="9" t="s">
        <v>644</v>
      </c>
      <c r="D17" s="9" t="s">
        <v>645</v>
      </c>
      <c r="E17" s="9" t="s">
        <v>647</v>
      </c>
      <c r="F17" s="9">
        <v>1</v>
      </c>
      <c r="G17" s="9" t="s">
        <v>648</v>
      </c>
      <c r="H17" s="10">
        <v>26460</v>
      </c>
      <c r="I17" s="9">
        <v>0.98</v>
      </c>
      <c r="J17" s="10">
        <v>25930.8</v>
      </c>
    </row>
    <row r="18" ht="105" customHeight="1" spans="1:10">
      <c r="A18" s="9">
        <v>16</v>
      </c>
      <c r="B18" s="9" t="s">
        <v>25</v>
      </c>
      <c r="C18" s="9" t="s">
        <v>649</v>
      </c>
      <c r="D18" s="9" t="s">
        <v>650</v>
      </c>
      <c r="E18" s="9" t="s">
        <v>651</v>
      </c>
      <c r="F18" s="9">
        <v>1</v>
      </c>
      <c r="G18" s="9" t="s">
        <v>53</v>
      </c>
      <c r="H18" s="10">
        <v>441</v>
      </c>
      <c r="I18" s="9">
        <v>0.98</v>
      </c>
      <c r="J18" s="10">
        <v>432.18</v>
      </c>
    </row>
    <row r="19" ht="30" customHeight="1" spans="1:10">
      <c r="A19" s="9">
        <v>17</v>
      </c>
      <c r="B19" s="9" t="s">
        <v>25</v>
      </c>
      <c r="C19" s="9" t="s">
        <v>652</v>
      </c>
      <c r="D19" s="9" t="s">
        <v>653</v>
      </c>
      <c r="E19" s="9" t="s">
        <v>654</v>
      </c>
      <c r="F19" s="9">
        <v>1</v>
      </c>
      <c r="G19" s="9" t="s">
        <v>655</v>
      </c>
      <c r="H19" s="10">
        <v>294000</v>
      </c>
      <c r="I19" s="9">
        <v>0.98</v>
      </c>
      <c r="J19" s="10">
        <v>288120</v>
      </c>
    </row>
    <row r="20" ht="45" customHeight="1" spans="1:10">
      <c r="A20" s="9">
        <v>18</v>
      </c>
      <c r="B20" s="9" t="s">
        <v>25</v>
      </c>
      <c r="C20" s="9" t="s">
        <v>652</v>
      </c>
      <c r="D20" s="9" t="s">
        <v>653</v>
      </c>
      <c r="E20" s="9" t="s">
        <v>656</v>
      </c>
      <c r="F20" s="9">
        <v>1</v>
      </c>
      <c r="G20" s="9" t="s">
        <v>646</v>
      </c>
      <c r="H20" s="10">
        <v>588000</v>
      </c>
      <c r="I20" s="9">
        <v>0.98</v>
      </c>
      <c r="J20" s="10">
        <v>576240</v>
      </c>
    </row>
    <row r="21" ht="30" customHeight="1" spans="1:10">
      <c r="A21" s="9">
        <v>19</v>
      </c>
      <c r="B21" s="9" t="s">
        <v>25</v>
      </c>
      <c r="C21" s="9" t="s">
        <v>652</v>
      </c>
      <c r="D21" s="9" t="s">
        <v>653</v>
      </c>
      <c r="E21" s="9" t="s">
        <v>657</v>
      </c>
      <c r="F21" s="9">
        <v>1</v>
      </c>
      <c r="G21" s="9" t="s">
        <v>655</v>
      </c>
      <c r="H21" s="10">
        <v>784000</v>
      </c>
      <c r="I21" s="9">
        <v>0.98</v>
      </c>
      <c r="J21" s="10">
        <v>768320</v>
      </c>
    </row>
    <row r="22" customHeight="1" spans="1:10">
      <c r="A22" s="9">
        <v>20</v>
      </c>
      <c r="B22" s="9" t="s">
        <v>25</v>
      </c>
      <c r="C22" s="9" t="s">
        <v>652</v>
      </c>
      <c r="D22" s="9" t="s">
        <v>658</v>
      </c>
      <c r="E22" s="9" t="s">
        <v>658</v>
      </c>
      <c r="F22" s="9">
        <v>1</v>
      </c>
      <c r="G22" s="9" t="s">
        <v>53</v>
      </c>
      <c r="H22" s="10">
        <v>1738.52</v>
      </c>
      <c r="I22" s="9">
        <v>0.98</v>
      </c>
      <c r="J22" s="10">
        <v>1703.75</v>
      </c>
    </row>
    <row r="23" customHeight="1" spans="1:10">
      <c r="A23" s="9">
        <v>21</v>
      </c>
      <c r="B23" s="9" t="s">
        <v>23</v>
      </c>
      <c r="C23" s="9" t="s">
        <v>659</v>
      </c>
      <c r="D23" s="9" t="s">
        <v>660</v>
      </c>
      <c r="E23" s="9" t="s">
        <v>24</v>
      </c>
      <c r="F23" s="9">
        <v>1</v>
      </c>
      <c r="G23" s="9" t="s">
        <v>53</v>
      </c>
      <c r="H23" s="10">
        <v>72.49</v>
      </c>
      <c r="I23" s="9">
        <v>0.98</v>
      </c>
      <c r="J23" s="10">
        <v>71.04</v>
      </c>
    </row>
    <row r="24" customHeight="1" spans="1:10">
      <c r="A24" s="9">
        <v>22</v>
      </c>
      <c r="B24" s="9" t="s">
        <v>23</v>
      </c>
      <c r="C24" s="9" t="s">
        <v>659</v>
      </c>
      <c r="D24" s="9" t="s">
        <v>661</v>
      </c>
      <c r="E24" s="9" t="s">
        <v>662</v>
      </c>
      <c r="F24" s="9">
        <v>1</v>
      </c>
      <c r="G24" s="9" t="s">
        <v>53</v>
      </c>
      <c r="H24" s="10">
        <v>72.49</v>
      </c>
      <c r="I24" s="9">
        <v>0.98</v>
      </c>
      <c r="J24" s="10">
        <v>71.04</v>
      </c>
    </row>
    <row r="25" ht="30" customHeight="1" spans="1:10">
      <c r="A25" s="9">
        <v>23</v>
      </c>
      <c r="B25" s="9" t="s">
        <v>23</v>
      </c>
      <c r="C25" s="9" t="s">
        <v>659</v>
      </c>
      <c r="D25" s="9" t="s">
        <v>663</v>
      </c>
      <c r="E25" s="9" t="s">
        <v>664</v>
      </c>
      <c r="F25" s="9">
        <v>1</v>
      </c>
      <c r="G25" s="9" t="s">
        <v>53</v>
      </c>
      <c r="H25" s="10">
        <v>72.49</v>
      </c>
      <c r="I25" s="9">
        <v>0.98</v>
      </c>
      <c r="J25" s="10">
        <v>71.04</v>
      </c>
    </row>
    <row r="26" customHeight="1" spans="1:10">
      <c r="A26" s="9">
        <v>24</v>
      </c>
      <c r="B26" s="9" t="s">
        <v>23</v>
      </c>
      <c r="C26" s="9" t="s">
        <v>659</v>
      </c>
      <c r="D26" s="9" t="s">
        <v>665</v>
      </c>
      <c r="E26" s="9" t="s">
        <v>666</v>
      </c>
      <c r="F26" s="9">
        <v>1</v>
      </c>
      <c r="G26" s="9" t="s">
        <v>53</v>
      </c>
      <c r="H26" s="10">
        <v>72.49</v>
      </c>
      <c r="I26" s="9">
        <v>0.98</v>
      </c>
      <c r="J26" s="10">
        <v>71.04</v>
      </c>
    </row>
    <row r="27" ht="30" customHeight="1" spans="1:10">
      <c r="A27" s="9">
        <v>25</v>
      </c>
      <c r="B27" s="9" t="s">
        <v>23</v>
      </c>
      <c r="C27" s="9" t="s">
        <v>659</v>
      </c>
      <c r="D27" s="9" t="s">
        <v>667</v>
      </c>
      <c r="E27" s="9" t="s">
        <v>668</v>
      </c>
      <c r="F27" s="9">
        <v>1</v>
      </c>
      <c r="G27" s="9" t="s">
        <v>53</v>
      </c>
      <c r="H27" s="10">
        <v>72.49</v>
      </c>
      <c r="I27" s="9">
        <v>0.98</v>
      </c>
      <c r="J27" s="10">
        <v>71.04</v>
      </c>
    </row>
    <row r="28" ht="30" customHeight="1" spans="1:10">
      <c r="A28" s="9">
        <v>26</v>
      </c>
      <c r="B28" s="9" t="s">
        <v>21</v>
      </c>
      <c r="C28" s="9" t="s">
        <v>669</v>
      </c>
      <c r="D28" s="9" t="s">
        <v>22</v>
      </c>
      <c r="E28" s="9" t="s">
        <v>22</v>
      </c>
      <c r="F28" s="9">
        <v>1</v>
      </c>
      <c r="G28" s="9" t="s">
        <v>53</v>
      </c>
      <c r="H28" s="10">
        <v>5.64</v>
      </c>
      <c r="I28" s="9">
        <v>0.98</v>
      </c>
      <c r="J28" s="10">
        <v>5.53</v>
      </c>
    </row>
    <row r="29" ht="30" customHeight="1" spans="1:10">
      <c r="A29" s="9">
        <v>27</v>
      </c>
      <c r="B29" s="9" t="s">
        <v>21</v>
      </c>
      <c r="C29" s="9" t="s">
        <v>669</v>
      </c>
      <c r="D29" s="9" t="s">
        <v>670</v>
      </c>
      <c r="E29" s="9" t="s">
        <v>670</v>
      </c>
      <c r="F29" s="9">
        <v>1</v>
      </c>
      <c r="G29" s="9" t="s">
        <v>53</v>
      </c>
      <c r="H29" s="10">
        <v>5.64</v>
      </c>
      <c r="I29" s="9">
        <v>0.98</v>
      </c>
      <c r="J29" s="10">
        <v>5.53</v>
      </c>
    </row>
    <row r="30" customHeight="1" spans="1:10">
      <c r="A30" s="9">
        <v>28</v>
      </c>
      <c r="B30" s="9" t="s">
        <v>21</v>
      </c>
      <c r="C30" s="9" t="s">
        <v>669</v>
      </c>
      <c r="D30" s="9" t="s">
        <v>671</v>
      </c>
      <c r="E30" s="9" t="s">
        <v>671</v>
      </c>
      <c r="F30" s="9">
        <v>1</v>
      </c>
      <c r="G30" s="9" t="s">
        <v>53</v>
      </c>
      <c r="H30" s="10">
        <v>7.52</v>
      </c>
      <c r="I30" s="9">
        <v>0.98</v>
      </c>
      <c r="J30" s="10">
        <v>7.37</v>
      </c>
    </row>
    <row r="31" customHeight="1" spans="1:10">
      <c r="A31" s="9">
        <v>29</v>
      </c>
      <c r="B31" s="9" t="s">
        <v>21</v>
      </c>
      <c r="C31" s="9" t="s">
        <v>669</v>
      </c>
      <c r="D31" s="9" t="s">
        <v>33</v>
      </c>
      <c r="E31" s="9" t="s">
        <v>33</v>
      </c>
      <c r="F31" s="9">
        <v>1</v>
      </c>
      <c r="G31" s="9" t="s">
        <v>53</v>
      </c>
      <c r="H31" s="10">
        <v>5.9</v>
      </c>
      <c r="I31" s="9">
        <v>0.98</v>
      </c>
      <c r="J31" s="10">
        <v>5.78</v>
      </c>
    </row>
    <row r="32" customHeight="1" spans="1:10">
      <c r="A32" s="9">
        <v>30</v>
      </c>
      <c r="B32" s="9" t="s">
        <v>21</v>
      </c>
      <c r="C32" s="9" t="s">
        <v>669</v>
      </c>
      <c r="D32" s="9" t="s">
        <v>32</v>
      </c>
      <c r="E32" s="9" t="s">
        <v>32</v>
      </c>
      <c r="F32" s="9">
        <v>1</v>
      </c>
      <c r="G32" s="9" t="s">
        <v>672</v>
      </c>
      <c r="H32" s="10">
        <v>0</v>
      </c>
      <c r="I32" s="9">
        <v>0.98</v>
      </c>
      <c r="J32" s="10">
        <v>0</v>
      </c>
    </row>
    <row r="33" customHeight="1" spans="1:10">
      <c r="A33" s="9">
        <v>31</v>
      </c>
      <c r="B33" s="9" t="s">
        <v>21</v>
      </c>
      <c r="C33" s="9" t="s">
        <v>669</v>
      </c>
      <c r="D33" s="9" t="s">
        <v>673</v>
      </c>
      <c r="E33" s="9" t="s">
        <v>673</v>
      </c>
      <c r="F33" s="9">
        <v>1</v>
      </c>
      <c r="G33" s="9" t="s">
        <v>672</v>
      </c>
      <c r="H33" s="10">
        <v>0</v>
      </c>
      <c r="I33" s="9">
        <v>0.98</v>
      </c>
      <c r="J33" s="10">
        <v>0</v>
      </c>
    </row>
    <row r="34" ht="270" customHeight="1" spans="1:10">
      <c r="A34" s="9">
        <v>32</v>
      </c>
      <c r="B34" s="9" t="s">
        <v>30</v>
      </c>
      <c r="C34" s="9" t="s">
        <v>51</v>
      </c>
      <c r="D34" s="9" t="s">
        <v>674</v>
      </c>
      <c r="E34" s="9" t="s">
        <v>675</v>
      </c>
      <c r="F34" s="9">
        <v>1</v>
      </c>
      <c r="G34" s="9" t="s">
        <v>676</v>
      </c>
      <c r="H34" s="10">
        <v>1.18</v>
      </c>
      <c r="I34" s="9">
        <v>0.98</v>
      </c>
      <c r="J34" s="10">
        <v>1.16</v>
      </c>
    </row>
    <row r="35" ht="270" customHeight="1" spans="1:10">
      <c r="A35" s="9">
        <v>33</v>
      </c>
      <c r="B35" s="9" t="s">
        <v>30</v>
      </c>
      <c r="C35" s="9" t="s">
        <v>51</v>
      </c>
      <c r="D35" s="9" t="s">
        <v>677</v>
      </c>
      <c r="E35" s="9" t="s">
        <v>675</v>
      </c>
      <c r="F35" s="9">
        <v>1</v>
      </c>
      <c r="G35" s="9" t="s">
        <v>678</v>
      </c>
      <c r="H35" s="10">
        <v>0.2</v>
      </c>
      <c r="I35" s="9">
        <v>0.98</v>
      </c>
      <c r="J35" s="10">
        <v>0.2</v>
      </c>
    </row>
    <row r="36" ht="300" customHeight="1" spans="1:10">
      <c r="A36" s="9">
        <v>34</v>
      </c>
      <c r="B36" s="9" t="s">
        <v>30</v>
      </c>
      <c r="C36" s="9" t="s">
        <v>51</v>
      </c>
      <c r="D36" s="9" t="s">
        <v>679</v>
      </c>
      <c r="E36" s="9" t="s">
        <v>680</v>
      </c>
      <c r="F36" s="9">
        <v>1</v>
      </c>
      <c r="G36" s="9" t="s">
        <v>676</v>
      </c>
      <c r="H36" s="10">
        <v>18.88</v>
      </c>
      <c r="I36" s="9">
        <v>0.98</v>
      </c>
      <c r="J36" s="10">
        <v>18.5</v>
      </c>
    </row>
    <row r="37" ht="255" customHeight="1" spans="1:10">
      <c r="A37" s="9">
        <v>35</v>
      </c>
      <c r="B37" s="9" t="s">
        <v>30</v>
      </c>
      <c r="C37" s="9" t="s">
        <v>51</v>
      </c>
      <c r="D37" s="9" t="s">
        <v>54</v>
      </c>
      <c r="E37" s="9" t="s">
        <v>681</v>
      </c>
      <c r="F37" s="9">
        <v>1</v>
      </c>
      <c r="G37" s="9" t="s">
        <v>53</v>
      </c>
      <c r="H37" s="10">
        <v>1.99</v>
      </c>
      <c r="I37" s="9">
        <v>0.98</v>
      </c>
      <c r="J37" s="10">
        <v>1.95</v>
      </c>
    </row>
    <row r="38" ht="30" customHeight="1" spans="1:10">
      <c r="A38" s="9">
        <v>36</v>
      </c>
      <c r="B38" s="9" t="s">
        <v>30</v>
      </c>
      <c r="C38" s="9" t="s">
        <v>51</v>
      </c>
      <c r="D38" s="9" t="s">
        <v>52</v>
      </c>
      <c r="E38" s="9" t="s">
        <v>682</v>
      </c>
      <c r="F38" s="9">
        <v>1</v>
      </c>
      <c r="G38" s="9" t="s">
        <v>53</v>
      </c>
      <c r="H38" s="10">
        <v>26.14</v>
      </c>
      <c r="I38" s="9">
        <v>0.98</v>
      </c>
      <c r="J38" s="10">
        <v>25.62</v>
      </c>
    </row>
    <row r="39" ht="285" customHeight="1" spans="1:10">
      <c r="A39" s="9">
        <v>37</v>
      </c>
      <c r="B39" s="9" t="s">
        <v>30</v>
      </c>
      <c r="C39" s="9" t="s">
        <v>51</v>
      </c>
      <c r="D39" s="9" t="s">
        <v>683</v>
      </c>
      <c r="E39" s="9" t="s">
        <v>684</v>
      </c>
      <c r="F39" s="9">
        <v>1</v>
      </c>
      <c r="G39" s="9" t="s">
        <v>53</v>
      </c>
      <c r="H39" s="10">
        <v>34.39</v>
      </c>
      <c r="I39" s="9">
        <v>0.98</v>
      </c>
      <c r="J39" s="10">
        <v>33.7</v>
      </c>
    </row>
    <row r="40" ht="45" customHeight="1" spans="1:10">
      <c r="A40" s="9">
        <v>38</v>
      </c>
      <c r="B40" s="9" t="s">
        <v>30</v>
      </c>
      <c r="C40" s="9" t="s">
        <v>51</v>
      </c>
      <c r="D40" s="9" t="s">
        <v>685</v>
      </c>
      <c r="E40" s="9" t="s">
        <v>686</v>
      </c>
      <c r="F40" s="9">
        <v>1</v>
      </c>
      <c r="G40" s="9" t="s">
        <v>53</v>
      </c>
      <c r="H40" s="10">
        <v>54.61</v>
      </c>
      <c r="I40" s="9">
        <v>0.98</v>
      </c>
      <c r="J40" s="10">
        <v>53.52</v>
      </c>
    </row>
    <row r="41" ht="300" customHeight="1" spans="1:10">
      <c r="A41" s="9">
        <v>39</v>
      </c>
      <c r="B41" s="9" t="s">
        <v>30</v>
      </c>
      <c r="C41" s="9" t="s">
        <v>51</v>
      </c>
      <c r="D41" s="9" t="s">
        <v>687</v>
      </c>
      <c r="E41" s="9" t="s">
        <v>688</v>
      </c>
      <c r="F41" s="9">
        <v>1</v>
      </c>
      <c r="G41" s="9" t="s">
        <v>53</v>
      </c>
      <c r="H41" s="10">
        <v>322.86</v>
      </c>
      <c r="I41" s="9">
        <v>0.98</v>
      </c>
      <c r="J41" s="10">
        <v>316.4</v>
      </c>
    </row>
    <row r="42" ht="409.5" customHeight="1" spans="1:10">
      <c r="A42" s="9">
        <v>40</v>
      </c>
      <c r="B42" s="9" t="s">
        <v>30</v>
      </c>
      <c r="C42" s="9" t="s">
        <v>51</v>
      </c>
      <c r="D42" s="9" t="s">
        <v>689</v>
      </c>
      <c r="E42" s="9" t="s">
        <v>690</v>
      </c>
      <c r="F42" s="9">
        <v>1</v>
      </c>
      <c r="G42" s="9" t="s">
        <v>53</v>
      </c>
      <c r="H42" s="10">
        <v>0.84</v>
      </c>
      <c r="I42" s="9">
        <v>0.98</v>
      </c>
      <c r="J42" s="10">
        <v>0.82</v>
      </c>
    </row>
    <row r="43" ht="409.5" customHeight="1" spans="1:10">
      <c r="A43" s="9">
        <v>41</v>
      </c>
      <c r="B43" s="9" t="s">
        <v>30</v>
      </c>
      <c r="C43" s="9" t="s">
        <v>51</v>
      </c>
      <c r="D43" s="9" t="s">
        <v>691</v>
      </c>
      <c r="E43" s="9" t="s">
        <v>692</v>
      </c>
      <c r="F43" s="9">
        <v>1</v>
      </c>
      <c r="G43" s="9" t="s">
        <v>53</v>
      </c>
      <c r="H43" s="10">
        <v>16.32</v>
      </c>
      <c r="I43" s="9">
        <v>0.98</v>
      </c>
      <c r="J43" s="10">
        <v>15.99</v>
      </c>
    </row>
    <row r="44" ht="409.5" customHeight="1" spans="1:10">
      <c r="A44" s="9">
        <v>42</v>
      </c>
      <c r="B44" s="9" t="s">
        <v>30</v>
      </c>
      <c r="C44" s="9" t="s">
        <v>51</v>
      </c>
      <c r="D44" s="9" t="s">
        <v>693</v>
      </c>
      <c r="E44" s="9" t="s">
        <v>694</v>
      </c>
      <c r="F44" s="9">
        <v>1</v>
      </c>
      <c r="G44" s="9" t="s">
        <v>53</v>
      </c>
      <c r="H44" s="10">
        <v>37.5</v>
      </c>
      <c r="I44" s="9">
        <v>0.98</v>
      </c>
      <c r="J44" s="10">
        <v>36.75</v>
      </c>
    </row>
    <row r="45" ht="409.5" customHeight="1" spans="1:10">
      <c r="A45" s="9">
        <v>43</v>
      </c>
      <c r="B45" s="9" t="s">
        <v>30</v>
      </c>
      <c r="C45" s="9" t="s">
        <v>51</v>
      </c>
      <c r="D45" s="9" t="s">
        <v>695</v>
      </c>
      <c r="E45" s="9" t="s">
        <v>696</v>
      </c>
      <c r="F45" s="9">
        <v>1</v>
      </c>
      <c r="G45" s="9" t="s">
        <v>53</v>
      </c>
      <c r="H45" s="10">
        <v>74.77</v>
      </c>
      <c r="I45" s="9">
        <v>0.98</v>
      </c>
      <c r="J45" s="10">
        <v>73.27</v>
      </c>
    </row>
    <row r="46" ht="360" customHeight="1" spans="1:10">
      <c r="A46" s="9">
        <v>44</v>
      </c>
      <c r="B46" s="9" t="s">
        <v>30</v>
      </c>
      <c r="C46" s="9" t="s">
        <v>51</v>
      </c>
      <c r="D46" s="9" t="s">
        <v>697</v>
      </c>
      <c r="E46" s="9" t="s">
        <v>698</v>
      </c>
      <c r="F46" s="9">
        <v>1</v>
      </c>
      <c r="G46" s="9" t="s">
        <v>53</v>
      </c>
      <c r="H46" s="10">
        <v>36.15</v>
      </c>
      <c r="I46" s="9">
        <v>0.98</v>
      </c>
      <c r="J46" s="10">
        <v>35.43</v>
      </c>
    </row>
    <row r="47" ht="360" customHeight="1" spans="1:10">
      <c r="A47" s="9">
        <v>45</v>
      </c>
      <c r="B47" s="9" t="s">
        <v>30</v>
      </c>
      <c r="C47" s="9" t="s">
        <v>51</v>
      </c>
      <c r="D47" s="9" t="s">
        <v>699</v>
      </c>
      <c r="E47" s="9" t="s">
        <v>700</v>
      </c>
      <c r="F47" s="9">
        <v>1</v>
      </c>
      <c r="G47" s="9" t="s">
        <v>53</v>
      </c>
      <c r="H47" s="10">
        <v>144.87</v>
      </c>
      <c r="I47" s="9">
        <v>0.98</v>
      </c>
      <c r="J47" s="10">
        <v>141.97</v>
      </c>
    </row>
    <row r="48" ht="360" customHeight="1" spans="1:10">
      <c r="A48" s="9">
        <v>46</v>
      </c>
      <c r="B48" s="9" t="s">
        <v>30</v>
      </c>
      <c r="C48" s="9" t="s">
        <v>51</v>
      </c>
      <c r="D48" s="9" t="s">
        <v>701</v>
      </c>
      <c r="E48" s="9" t="s">
        <v>700</v>
      </c>
      <c r="F48" s="9">
        <v>1</v>
      </c>
      <c r="G48" s="9" t="s">
        <v>53</v>
      </c>
      <c r="H48" s="10">
        <v>267.72</v>
      </c>
      <c r="I48" s="9">
        <v>0.98</v>
      </c>
      <c r="J48" s="10">
        <v>262.37</v>
      </c>
    </row>
    <row r="49" ht="150" customHeight="1" spans="1:10">
      <c r="A49" s="9">
        <v>47</v>
      </c>
      <c r="B49" s="9" t="s">
        <v>30</v>
      </c>
      <c r="C49" s="9" t="s">
        <v>51</v>
      </c>
      <c r="D49" s="9" t="s">
        <v>702</v>
      </c>
      <c r="E49" s="9" t="s">
        <v>703</v>
      </c>
      <c r="F49" s="9">
        <v>1</v>
      </c>
      <c r="G49" s="9" t="s">
        <v>53</v>
      </c>
      <c r="H49" s="10">
        <v>40.57</v>
      </c>
      <c r="I49" s="9">
        <v>0.98</v>
      </c>
      <c r="J49" s="10">
        <v>39.76</v>
      </c>
    </row>
    <row r="50" ht="150" customHeight="1" spans="1:10">
      <c r="A50" s="9">
        <v>48</v>
      </c>
      <c r="B50" s="9" t="s">
        <v>30</v>
      </c>
      <c r="C50" s="9" t="s">
        <v>51</v>
      </c>
      <c r="D50" s="9" t="s">
        <v>704</v>
      </c>
      <c r="E50" s="9" t="s">
        <v>705</v>
      </c>
      <c r="F50" s="9">
        <v>1</v>
      </c>
      <c r="G50" s="9" t="s">
        <v>53</v>
      </c>
      <c r="H50" s="10">
        <v>55.17</v>
      </c>
      <c r="I50" s="9">
        <v>0.98</v>
      </c>
      <c r="J50" s="10">
        <v>54.07</v>
      </c>
    </row>
    <row r="51" ht="150" customHeight="1" spans="1:10">
      <c r="A51" s="9">
        <v>49</v>
      </c>
      <c r="B51" s="9" t="s">
        <v>30</v>
      </c>
      <c r="C51" s="9" t="s">
        <v>51</v>
      </c>
      <c r="D51" s="9" t="s">
        <v>706</v>
      </c>
      <c r="E51" s="9" t="s">
        <v>707</v>
      </c>
      <c r="F51" s="9">
        <v>1</v>
      </c>
      <c r="G51" s="9" t="s">
        <v>53</v>
      </c>
      <c r="H51" s="10">
        <v>67.21</v>
      </c>
      <c r="I51" s="9">
        <v>0.98</v>
      </c>
      <c r="J51" s="10">
        <v>65.87</v>
      </c>
    </row>
    <row r="52" ht="120" customHeight="1" spans="1:10">
      <c r="A52" s="9">
        <v>50</v>
      </c>
      <c r="B52" s="9" t="s">
        <v>30</v>
      </c>
      <c r="C52" s="9" t="s">
        <v>51</v>
      </c>
      <c r="D52" s="9" t="s">
        <v>31</v>
      </c>
      <c r="E52" s="9" t="s">
        <v>708</v>
      </c>
      <c r="F52" s="9">
        <v>1</v>
      </c>
      <c r="G52" s="9" t="s">
        <v>53</v>
      </c>
      <c r="H52" s="10">
        <v>23.23</v>
      </c>
      <c r="I52" s="9">
        <v>0.98</v>
      </c>
      <c r="J52" s="10">
        <v>22.77</v>
      </c>
    </row>
    <row r="53" ht="120" customHeight="1" spans="1:10">
      <c r="A53" s="9">
        <v>51</v>
      </c>
      <c r="B53" s="9" t="s">
        <v>30</v>
      </c>
      <c r="C53" s="9" t="s">
        <v>51</v>
      </c>
      <c r="D53" s="9" t="s">
        <v>709</v>
      </c>
      <c r="E53" s="9" t="s">
        <v>710</v>
      </c>
      <c r="F53" s="9">
        <v>1</v>
      </c>
      <c r="G53" s="9" t="s">
        <v>53</v>
      </c>
      <c r="H53" s="10">
        <v>59.25</v>
      </c>
      <c r="I53" s="9">
        <v>0.98</v>
      </c>
      <c r="J53" s="10">
        <v>58.07</v>
      </c>
    </row>
    <row r="54" ht="120" customHeight="1" spans="1:10">
      <c r="A54" s="9">
        <v>52</v>
      </c>
      <c r="B54" s="9" t="s">
        <v>30</v>
      </c>
      <c r="C54" s="9" t="s">
        <v>51</v>
      </c>
      <c r="D54" s="9" t="s">
        <v>711</v>
      </c>
      <c r="E54" s="9" t="s">
        <v>712</v>
      </c>
      <c r="F54" s="9">
        <v>1</v>
      </c>
      <c r="G54" s="9" t="s">
        <v>53</v>
      </c>
      <c r="H54" s="10">
        <v>120.45</v>
      </c>
      <c r="I54" s="9">
        <v>0.98</v>
      </c>
      <c r="J54" s="10">
        <v>118.04</v>
      </c>
    </row>
    <row r="55" ht="120" customHeight="1" spans="1:10">
      <c r="A55" s="9">
        <v>53</v>
      </c>
      <c r="B55" s="9" t="s">
        <v>30</v>
      </c>
      <c r="C55" s="9" t="s">
        <v>51</v>
      </c>
      <c r="D55" s="9" t="s">
        <v>713</v>
      </c>
      <c r="E55" s="9" t="s">
        <v>714</v>
      </c>
      <c r="F55" s="9">
        <v>1</v>
      </c>
      <c r="G55" s="9" t="s">
        <v>53</v>
      </c>
      <c r="H55" s="10">
        <v>195.09</v>
      </c>
      <c r="I55" s="9">
        <v>0.98</v>
      </c>
      <c r="J55" s="10">
        <v>191.19</v>
      </c>
    </row>
    <row r="56" ht="30" customHeight="1" spans="1:10">
      <c r="A56" s="9">
        <v>54</v>
      </c>
      <c r="B56" s="9" t="s">
        <v>30</v>
      </c>
      <c r="C56" s="9" t="s">
        <v>51</v>
      </c>
      <c r="D56" s="9" t="s">
        <v>715</v>
      </c>
      <c r="E56" s="9" t="s">
        <v>716</v>
      </c>
      <c r="F56" s="9">
        <v>1</v>
      </c>
      <c r="G56" s="9" t="s">
        <v>53</v>
      </c>
      <c r="H56" s="10">
        <v>25.45</v>
      </c>
      <c r="I56" s="9">
        <v>0.98</v>
      </c>
      <c r="J56" s="10">
        <v>24.94</v>
      </c>
    </row>
    <row r="57" ht="210" customHeight="1" spans="1:10">
      <c r="A57" s="9">
        <v>55</v>
      </c>
      <c r="B57" s="9" t="s">
        <v>30</v>
      </c>
      <c r="C57" s="9" t="s">
        <v>51</v>
      </c>
      <c r="D57" s="9" t="s">
        <v>717</v>
      </c>
      <c r="E57" s="9" t="s">
        <v>718</v>
      </c>
      <c r="F57" s="9">
        <v>1</v>
      </c>
      <c r="G57" s="9" t="s">
        <v>53</v>
      </c>
      <c r="H57" s="10">
        <v>31.88</v>
      </c>
      <c r="I57" s="9">
        <v>0.98</v>
      </c>
      <c r="J57" s="10">
        <v>31.24</v>
      </c>
    </row>
    <row r="58" ht="195" customHeight="1" spans="1:10">
      <c r="A58" s="9">
        <v>56</v>
      </c>
      <c r="B58" s="9" t="s">
        <v>30</v>
      </c>
      <c r="C58" s="9" t="s">
        <v>51</v>
      </c>
      <c r="D58" s="9" t="s">
        <v>719</v>
      </c>
      <c r="E58" s="9" t="s">
        <v>720</v>
      </c>
      <c r="F58" s="9">
        <v>1</v>
      </c>
      <c r="G58" s="9" t="s">
        <v>53</v>
      </c>
      <c r="H58" s="10">
        <v>64.5</v>
      </c>
      <c r="I58" s="9">
        <v>0.98</v>
      </c>
      <c r="J58" s="10">
        <v>63.21</v>
      </c>
    </row>
    <row r="59" ht="180" customHeight="1" spans="1:10">
      <c r="A59" s="9">
        <v>57</v>
      </c>
      <c r="B59" s="9" t="s">
        <v>30</v>
      </c>
      <c r="C59" s="9" t="s">
        <v>51</v>
      </c>
      <c r="D59" s="9" t="s">
        <v>721</v>
      </c>
      <c r="E59" s="9" t="s">
        <v>722</v>
      </c>
      <c r="F59" s="9">
        <v>1</v>
      </c>
      <c r="G59" s="9" t="s">
        <v>53</v>
      </c>
      <c r="H59" s="10">
        <v>62.6</v>
      </c>
      <c r="I59" s="9">
        <v>0.98</v>
      </c>
      <c r="J59" s="10">
        <v>61.35</v>
      </c>
    </row>
    <row r="60" ht="180" customHeight="1" spans="1:10">
      <c r="A60" s="9">
        <v>58</v>
      </c>
      <c r="B60" s="9" t="s">
        <v>30</v>
      </c>
      <c r="C60" s="9" t="s">
        <v>51</v>
      </c>
      <c r="D60" s="9" t="s">
        <v>723</v>
      </c>
      <c r="E60" s="9" t="s">
        <v>724</v>
      </c>
      <c r="F60" s="9">
        <v>1</v>
      </c>
      <c r="G60" s="9" t="s">
        <v>53</v>
      </c>
      <c r="H60" s="10">
        <v>109.44</v>
      </c>
      <c r="I60" s="9">
        <v>0.98</v>
      </c>
      <c r="J60" s="10">
        <v>107.25</v>
      </c>
    </row>
    <row r="61" customHeight="1" spans="1:10">
      <c r="A61" s="9">
        <v>59</v>
      </c>
      <c r="B61" s="9" t="s">
        <v>30</v>
      </c>
      <c r="C61" s="9" t="s">
        <v>725</v>
      </c>
      <c r="D61" s="9" t="s">
        <v>725</v>
      </c>
      <c r="E61" s="9" t="s">
        <v>725</v>
      </c>
      <c r="F61" s="9">
        <v>1</v>
      </c>
      <c r="G61" s="9" t="s">
        <v>53</v>
      </c>
      <c r="H61" s="10">
        <v>1208.22</v>
      </c>
      <c r="I61" s="9">
        <v>0.98</v>
      </c>
      <c r="J61" s="10">
        <v>1184.06</v>
      </c>
    </row>
    <row r="62" ht="30" customHeight="1" spans="1:10">
      <c r="A62" s="9">
        <v>60</v>
      </c>
      <c r="B62" s="9" t="s">
        <v>30</v>
      </c>
      <c r="C62" s="9" t="s">
        <v>726</v>
      </c>
      <c r="D62" s="9" t="s">
        <v>727</v>
      </c>
      <c r="E62" s="9" t="s">
        <v>728</v>
      </c>
      <c r="F62" s="9">
        <v>1</v>
      </c>
      <c r="G62" s="9" t="s">
        <v>729</v>
      </c>
      <c r="H62" s="10">
        <v>13.92</v>
      </c>
      <c r="I62" s="9">
        <v>0.98</v>
      </c>
      <c r="J62" s="10">
        <v>13.64</v>
      </c>
    </row>
    <row r="63" ht="30" customHeight="1" spans="1:10">
      <c r="A63" s="9">
        <v>61</v>
      </c>
      <c r="B63" s="9" t="s">
        <v>30</v>
      </c>
      <c r="C63" s="9" t="s">
        <v>726</v>
      </c>
      <c r="D63" s="9" t="s">
        <v>730</v>
      </c>
      <c r="E63" s="9" t="s">
        <v>731</v>
      </c>
      <c r="F63" s="9">
        <v>1</v>
      </c>
      <c r="G63" s="9" t="s">
        <v>732</v>
      </c>
      <c r="H63" s="10">
        <v>12.94</v>
      </c>
      <c r="I63" s="9">
        <v>0.98</v>
      </c>
      <c r="J63" s="10">
        <v>12.68</v>
      </c>
    </row>
    <row r="64" customHeight="1" spans="1:10">
      <c r="A64" s="9">
        <v>62</v>
      </c>
      <c r="B64" s="9" t="s">
        <v>30</v>
      </c>
      <c r="C64" s="9" t="s">
        <v>726</v>
      </c>
      <c r="D64" s="9" t="s">
        <v>733</v>
      </c>
      <c r="E64" s="9" t="s">
        <v>734</v>
      </c>
      <c r="F64" s="9">
        <v>1</v>
      </c>
      <c r="G64" s="9" t="s">
        <v>732</v>
      </c>
      <c r="H64" s="10">
        <v>1.61</v>
      </c>
      <c r="I64" s="9">
        <v>0.98</v>
      </c>
      <c r="J64" s="10">
        <v>1.58</v>
      </c>
    </row>
    <row r="65" ht="75" customHeight="1" spans="1:10">
      <c r="A65" s="9">
        <v>63</v>
      </c>
      <c r="B65" s="9" t="s">
        <v>30</v>
      </c>
      <c r="C65" s="9" t="s">
        <v>51</v>
      </c>
      <c r="D65" s="9" t="s">
        <v>735</v>
      </c>
      <c r="E65" s="9" t="s">
        <v>736</v>
      </c>
      <c r="F65" s="9">
        <v>1</v>
      </c>
      <c r="G65" s="9" t="s">
        <v>737</v>
      </c>
      <c r="H65" s="10">
        <v>93.97</v>
      </c>
      <c r="I65" s="9">
        <v>0.98</v>
      </c>
      <c r="J65" s="10">
        <v>92.09</v>
      </c>
    </row>
    <row r="66" ht="105" customHeight="1" spans="1:10">
      <c r="A66" s="9">
        <v>64</v>
      </c>
      <c r="B66" s="9" t="s">
        <v>30</v>
      </c>
      <c r="C66" s="9" t="s">
        <v>51</v>
      </c>
      <c r="D66" s="9" t="s">
        <v>738</v>
      </c>
      <c r="E66" s="9" t="s">
        <v>739</v>
      </c>
      <c r="F66" s="9">
        <v>1</v>
      </c>
      <c r="G66" s="9" t="s">
        <v>737</v>
      </c>
      <c r="H66" s="10">
        <v>177.2</v>
      </c>
      <c r="I66" s="9">
        <v>0.98</v>
      </c>
      <c r="J66" s="10">
        <v>173.66</v>
      </c>
    </row>
    <row r="67" ht="45" customHeight="1" spans="1:10">
      <c r="A67" s="9">
        <v>65</v>
      </c>
      <c r="B67" s="9" t="s">
        <v>30</v>
      </c>
      <c r="C67" s="9" t="s">
        <v>740</v>
      </c>
      <c r="D67" s="9" t="s">
        <v>741</v>
      </c>
      <c r="E67" s="9" t="s">
        <v>742</v>
      </c>
      <c r="F67" s="9">
        <v>1</v>
      </c>
      <c r="G67" s="9" t="s">
        <v>743</v>
      </c>
      <c r="H67" s="10">
        <v>98000</v>
      </c>
      <c r="I67" s="9">
        <v>0.98</v>
      </c>
      <c r="J67" s="10">
        <v>96040</v>
      </c>
    </row>
    <row r="68" ht="60" customHeight="1" spans="1:10">
      <c r="A68" s="9">
        <v>66</v>
      </c>
      <c r="B68" s="9" t="s">
        <v>30</v>
      </c>
      <c r="C68" s="9" t="s">
        <v>740</v>
      </c>
      <c r="D68" s="9" t="s">
        <v>744</v>
      </c>
      <c r="E68" s="9" t="s">
        <v>745</v>
      </c>
      <c r="F68" s="9">
        <v>1</v>
      </c>
      <c r="G68" s="9" t="s">
        <v>743</v>
      </c>
      <c r="H68" s="10">
        <v>98000</v>
      </c>
      <c r="I68" s="9">
        <v>0.98</v>
      </c>
      <c r="J68" s="10">
        <v>96040</v>
      </c>
    </row>
    <row r="69" ht="90" customHeight="1" spans="1:10">
      <c r="A69" s="9">
        <v>67</v>
      </c>
      <c r="B69" s="9" t="s">
        <v>30</v>
      </c>
      <c r="C69" s="9" t="s">
        <v>740</v>
      </c>
      <c r="D69" s="9" t="s">
        <v>746</v>
      </c>
      <c r="E69" s="9" t="s">
        <v>747</v>
      </c>
      <c r="F69" s="9">
        <v>1</v>
      </c>
      <c r="G69" s="9" t="s">
        <v>743</v>
      </c>
      <c r="H69" s="10">
        <v>98000</v>
      </c>
      <c r="I69" s="9">
        <v>0.98</v>
      </c>
      <c r="J69" s="10">
        <v>96040</v>
      </c>
    </row>
    <row r="70" ht="90" customHeight="1" spans="1:10">
      <c r="A70" s="9">
        <v>68</v>
      </c>
      <c r="B70" s="9" t="s">
        <v>30</v>
      </c>
      <c r="C70" s="9" t="s">
        <v>740</v>
      </c>
      <c r="D70" s="9" t="s">
        <v>748</v>
      </c>
      <c r="E70" s="9" t="s">
        <v>749</v>
      </c>
      <c r="F70" s="9">
        <v>1</v>
      </c>
      <c r="G70" s="9" t="s">
        <v>743</v>
      </c>
      <c r="H70" s="10">
        <v>98000</v>
      </c>
      <c r="I70" s="9">
        <v>0.98</v>
      </c>
      <c r="J70" s="10">
        <v>96040</v>
      </c>
    </row>
    <row r="71" ht="165" customHeight="1" spans="1:10">
      <c r="A71" s="9">
        <v>69</v>
      </c>
      <c r="B71" s="9" t="s">
        <v>30</v>
      </c>
      <c r="C71" s="9" t="s">
        <v>740</v>
      </c>
      <c r="D71" s="9" t="s">
        <v>750</v>
      </c>
      <c r="E71" s="9" t="s">
        <v>751</v>
      </c>
      <c r="F71" s="9">
        <v>1</v>
      </c>
      <c r="G71" s="9" t="s">
        <v>655</v>
      </c>
      <c r="H71" s="10">
        <v>78400</v>
      </c>
      <c r="I71" s="9">
        <v>0.98</v>
      </c>
      <c r="J71" s="10">
        <v>76832</v>
      </c>
    </row>
    <row r="72" ht="60" customHeight="1" spans="1:10">
      <c r="A72" s="9">
        <v>70</v>
      </c>
      <c r="B72" s="9" t="s">
        <v>30</v>
      </c>
      <c r="C72" s="9" t="s">
        <v>740</v>
      </c>
      <c r="D72" s="9" t="s">
        <v>752</v>
      </c>
      <c r="E72" s="9" t="s">
        <v>753</v>
      </c>
      <c r="F72" s="9">
        <v>1</v>
      </c>
      <c r="G72" s="9" t="s">
        <v>754</v>
      </c>
      <c r="H72" s="10">
        <v>29.4</v>
      </c>
      <c r="I72" s="9">
        <v>0.98</v>
      </c>
      <c r="J72" s="10">
        <v>28.81</v>
      </c>
    </row>
    <row r="73" ht="60" customHeight="1" spans="1:10">
      <c r="A73" s="9">
        <v>71</v>
      </c>
      <c r="B73" s="9" t="s">
        <v>30</v>
      </c>
      <c r="C73" s="9" t="s">
        <v>740</v>
      </c>
      <c r="D73" s="9" t="s">
        <v>755</v>
      </c>
      <c r="E73" s="9" t="s">
        <v>756</v>
      </c>
      <c r="F73" s="9">
        <v>1</v>
      </c>
      <c r="G73" s="9" t="s">
        <v>757</v>
      </c>
      <c r="H73" s="10">
        <v>29.4</v>
      </c>
      <c r="I73" s="9">
        <v>0.98</v>
      </c>
      <c r="J73" s="10">
        <v>28.81</v>
      </c>
    </row>
    <row r="74" ht="60" customHeight="1" spans="1:10">
      <c r="A74" s="9">
        <v>72</v>
      </c>
      <c r="B74" s="9" t="s">
        <v>30</v>
      </c>
      <c r="C74" s="9" t="s">
        <v>740</v>
      </c>
      <c r="D74" s="9" t="s">
        <v>758</v>
      </c>
      <c r="E74" s="9" t="s">
        <v>759</v>
      </c>
      <c r="F74" s="9">
        <v>1</v>
      </c>
      <c r="G74" s="9" t="s">
        <v>757</v>
      </c>
      <c r="H74" s="10">
        <v>2940</v>
      </c>
      <c r="I74" s="9">
        <v>0.98</v>
      </c>
      <c r="J74" s="10">
        <v>2881.2</v>
      </c>
    </row>
    <row r="75" ht="150" customHeight="1" spans="1:10">
      <c r="A75" s="9">
        <v>73</v>
      </c>
      <c r="B75" s="9" t="s">
        <v>30</v>
      </c>
      <c r="C75" s="9" t="s">
        <v>740</v>
      </c>
      <c r="D75" s="9" t="s">
        <v>760</v>
      </c>
      <c r="E75" s="9" t="s">
        <v>761</v>
      </c>
      <c r="F75" s="9">
        <v>1</v>
      </c>
      <c r="G75" s="9" t="s">
        <v>754</v>
      </c>
      <c r="H75" s="10">
        <v>49</v>
      </c>
      <c r="I75" s="9">
        <v>0.98</v>
      </c>
      <c r="J75" s="10">
        <v>48.02</v>
      </c>
    </row>
    <row r="76" ht="165" customHeight="1" spans="1:10">
      <c r="A76" s="9">
        <v>74</v>
      </c>
      <c r="B76" s="9" t="s">
        <v>30</v>
      </c>
      <c r="C76" s="9" t="s">
        <v>740</v>
      </c>
      <c r="D76" s="9" t="s">
        <v>762</v>
      </c>
      <c r="E76" s="9" t="s">
        <v>763</v>
      </c>
      <c r="F76" s="9">
        <v>1</v>
      </c>
      <c r="G76" s="9" t="s">
        <v>655</v>
      </c>
      <c r="H76" s="10">
        <v>735000</v>
      </c>
      <c r="I76" s="9">
        <v>0.98</v>
      </c>
      <c r="J76" s="10">
        <v>720300</v>
      </c>
    </row>
    <row r="77" ht="210" customHeight="1" spans="1:10">
      <c r="A77" s="9">
        <v>75</v>
      </c>
      <c r="B77" s="9" t="s">
        <v>30</v>
      </c>
      <c r="C77" s="9" t="s">
        <v>740</v>
      </c>
      <c r="D77" s="9" t="s">
        <v>764</v>
      </c>
      <c r="E77" s="9" t="s">
        <v>765</v>
      </c>
      <c r="F77" s="9">
        <v>1</v>
      </c>
      <c r="G77" s="9" t="s">
        <v>766</v>
      </c>
      <c r="H77" s="10">
        <v>196000</v>
      </c>
      <c r="I77" s="9">
        <v>0.98</v>
      </c>
      <c r="J77" s="10">
        <v>192080</v>
      </c>
    </row>
    <row r="78" ht="75" customHeight="1" spans="1:10">
      <c r="A78" s="9">
        <v>76</v>
      </c>
      <c r="B78" s="9" t="s">
        <v>30</v>
      </c>
      <c r="C78" s="9" t="s">
        <v>740</v>
      </c>
      <c r="D78" s="9" t="s">
        <v>767</v>
      </c>
      <c r="E78" s="9" t="s">
        <v>768</v>
      </c>
      <c r="F78" s="9">
        <v>1</v>
      </c>
      <c r="G78" s="9" t="s">
        <v>766</v>
      </c>
      <c r="H78" s="10">
        <v>83300</v>
      </c>
      <c r="I78" s="9">
        <v>0.98</v>
      </c>
      <c r="J78" s="10">
        <v>81634</v>
      </c>
    </row>
    <row r="79" ht="135" customHeight="1" spans="1:10">
      <c r="A79" s="9">
        <v>77</v>
      </c>
      <c r="B79" s="9" t="s">
        <v>30</v>
      </c>
      <c r="C79" s="9" t="s">
        <v>740</v>
      </c>
      <c r="D79" s="9" t="s">
        <v>769</v>
      </c>
      <c r="E79" s="9" t="s">
        <v>770</v>
      </c>
      <c r="F79" s="9">
        <v>1</v>
      </c>
      <c r="G79" s="9" t="s">
        <v>771</v>
      </c>
      <c r="H79" s="10">
        <v>58800</v>
      </c>
      <c r="I79" s="9">
        <v>0.98</v>
      </c>
      <c r="J79" s="10">
        <v>57624</v>
      </c>
    </row>
    <row r="80" ht="315" customHeight="1" spans="1:10">
      <c r="A80" s="9">
        <v>78</v>
      </c>
      <c r="B80" s="9" t="s">
        <v>30</v>
      </c>
      <c r="C80" s="9" t="s">
        <v>772</v>
      </c>
      <c r="D80" s="9" t="s">
        <v>773</v>
      </c>
      <c r="E80" s="9" t="s">
        <v>774</v>
      </c>
      <c r="F80" s="9">
        <v>1</v>
      </c>
      <c r="G80" s="9" t="s">
        <v>775</v>
      </c>
      <c r="H80" s="10">
        <v>23826.74</v>
      </c>
      <c r="I80" s="9">
        <v>0.98</v>
      </c>
      <c r="J80" s="10">
        <v>23350.21</v>
      </c>
    </row>
    <row r="81" ht="409.5" customHeight="1" spans="1:10">
      <c r="A81" s="9">
        <v>79</v>
      </c>
      <c r="B81" s="9" t="s">
        <v>30</v>
      </c>
      <c r="C81" s="9" t="s">
        <v>772</v>
      </c>
      <c r="D81" s="9" t="s">
        <v>776</v>
      </c>
      <c r="E81" s="9" t="s">
        <v>777</v>
      </c>
      <c r="F81" s="9">
        <v>1</v>
      </c>
      <c r="G81" s="9" t="s">
        <v>775</v>
      </c>
      <c r="H81" s="10">
        <v>48118</v>
      </c>
      <c r="I81" s="9">
        <v>0.98</v>
      </c>
      <c r="J81" s="10">
        <v>47155.64</v>
      </c>
    </row>
    <row r="82" ht="409.5" customHeight="1" spans="1:10">
      <c r="A82" s="9">
        <v>80</v>
      </c>
      <c r="B82" s="9" t="s">
        <v>30</v>
      </c>
      <c r="C82" s="9" t="s">
        <v>772</v>
      </c>
      <c r="D82" s="9" t="s">
        <v>778</v>
      </c>
      <c r="E82" s="9" t="s">
        <v>779</v>
      </c>
      <c r="F82" s="9">
        <v>1</v>
      </c>
      <c r="G82" s="9" t="s">
        <v>780</v>
      </c>
      <c r="H82" s="10">
        <v>263522</v>
      </c>
      <c r="I82" s="9">
        <v>0.98</v>
      </c>
      <c r="J82" s="10">
        <v>258251.56</v>
      </c>
    </row>
    <row r="83" ht="255" customHeight="1" spans="1:10">
      <c r="A83" s="9">
        <v>81</v>
      </c>
      <c r="B83" s="9" t="s">
        <v>30</v>
      </c>
      <c r="C83" s="9" t="s">
        <v>772</v>
      </c>
      <c r="D83" s="9" t="s">
        <v>781</v>
      </c>
      <c r="E83" s="9" t="s">
        <v>782</v>
      </c>
      <c r="F83" s="9">
        <v>1</v>
      </c>
      <c r="G83" s="9" t="s">
        <v>771</v>
      </c>
      <c r="H83" s="10">
        <v>87710</v>
      </c>
      <c r="I83" s="9">
        <v>0.98</v>
      </c>
      <c r="J83" s="10">
        <v>85955.8</v>
      </c>
    </row>
    <row r="84" ht="180" customHeight="1" spans="1:10">
      <c r="A84" s="9">
        <v>82</v>
      </c>
      <c r="B84" s="9" t="s">
        <v>30</v>
      </c>
      <c r="C84" s="9" t="s">
        <v>772</v>
      </c>
      <c r="D84" s="9" t="s">
        <v>783</v>
      </c>
      <c r="E84" s="9" t="s">
        <v>784</v>
      </c>
      <c r="F84" s="9">
        <v>1</v>
      </c>
      <c r="G84" s="9" t="s">
        <v>771</v>
      </c>
      <c r="H84" s="10">
        <v>2465.29</v>
      </c>
      <c r="I84" s="9">
        <v>0.98</v>
      </c>
      <c r="J84" s="10">
        <v>2415.98</v>
      </c>
    </row>
    <row r="85" ht="405" customHeight="1" spans="1:10">
      <c r="A85" s="9">
        <v>83</v>
      </c>
      <c r="B85" s="9" t="s">
        <v>30</v>
      </c>
      <c r="C85" s="9" t="s">
        <v>772</v>
      </c>
      <c r="D85" s="9" t="s">
        <v>785</v>
      </c>
      <c r="E85" s="9" t="s">
        <v>786</v>
      </c>
      <c r="F85" s="9">
        <v>1</v>
      </c>
      <c r="G85" s="9" t="s">
        <v>787</v>
      </c>
      <c r="H85" s="10">
        <v>139454</v>
      </c>
      <c r="I85" s="9">
        <v>0.98</v>
      </c>
      <c r="J85" s="10">
        <v>136664.92</v>
      </c>
    </row>
    <row r="86" ht="30" customHeight="1" spans="1:10">
      <c r="A86" s="9">
        <v>84</v>
      </c>
      <c r="B86" s="9" t="s">
        <v>30</v>
      </c>
      <c r="C86" s="9" t="s">
        <v>772</v>
      </c>
      <c r="D86" s="9" t="s">
        <v>788</v>
      </c>
      <c r="E86" s="9" t="s">
        <v>788</v>
      </c>
      <c r="F86" s="9">
        <v>1</v>
      </c>
      <c r="G86" s="9" t="s">
        <v>771</v>
      </c>
      <c r="H86" s="10">
        <v>98000</v>
      </c>
      <c r="I86" s="9">
        <v>0.98</v>
      </c>
      <c r="J86" s="10">
        <v>96040</v>
      </c>
    </row>
    <row r="87" customHeight="1" spans="1:10">
      <c r="A87" s="9">
        <v>85</v>
      </c>
      <c r="B87" s="9" t="s">
        <v>30</v>
      </c>
      <c r="C87" s="9" t="s">
        <v>772</v>
      </c>
      <c r="D87" s="9" t="s">
        <v>789</v>
      </c>
      <c r="E87" s="9" t="s">
        <v>790</v>
      </c>
      <c r="F87" s="9">
        <v>1</v>
      </c>
      <c r="G87" s="9" t="s">
        <v>771</v>
      </c>
      <c r="H87" s="10">
        <v>83300</v>
      </c>
      <c r="I87" s="9">
        <v>0.98</v>
      </c>
      <c r="J87" s="10">
        <v>81634</v>
      </c>
    </row>
  </sheetData>
  <mergeCells count="1">
    <mergeCell ref="A1:J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16</vt:i4>
      </vt:variant>
    </vt:vector>
  </HeadingPairs>
  <TitlesOfParts>
    <vt:vector size="16" baseType="lpstr">
      <vt:lpstr>基础信息</vt:lpstr>
      <vt:lpstr>ICC平台侧</vt:lpstr>
      <vt:lpstr>ICC-营销侧</vt:lpstr>
      <vt:lpstr>ICC-场景侧</vt:lpstr>
      <vt:lpstr>非急救转运</vt:lpstr>
      <vt:lpstr>爬虫</vt:lpstr>
      <vt:lpstr>可信数据空间</vt:lpstr>
      <vt:lpstr>目录</vt:lpstr>
      <vt:lpstr>国企数字化转型</vt:lpstr>
      <vt:lpstr>湖仓一体化</vt:lpstr>
      <vt:lpstr>集团业务</vt:lpstr>
      <vt:lpstr>集团研发</vt:lpstr>
      <vt:lpstr>华为Hiagent</vt:lpstr>
      <vt:lpstr>华为车路云</vt:lpstr>
      <vt:lpstr>检查服务</vt:lpstr>
      <vt:lpstr>合同目录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刘</cp:lastModifiedBy>
  <dcterms:created xsi:type="dcterms:W3CDTF">2006-09-16T00:00:00Z</dcterms:created>
  <dcterms:modified xsi:type="dcterms:W3CDTF">2026-05-07T02:43:42Z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8B19918A07F5454095A9FD5B682E95FD_13</vt:lpwstr>
  </property>
  <property fmtid="{D5CDD505-2E9C-101B-9397-08002B2CF9AE}" pid="3" name="KSOProductBuildVer">
    <vt:lpwstr>2052-12.1.0.25865</vt:lpwstr>
  </property>
  <property fmtid="{D5CDD505-2E9C-101B-9397-08002B2CF9AE}" pid="4" name="CalculationRule">
    <vt:i4>0</vt:i4>
  </property>
</Properties>
</file>